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F:\Disk E\ISC bhotik sagar\excel\PW Assisment files\"/>
    </mc:Choice>
  </mc:AlternateContent>
  <xr:revisionPtr revIDLastSave="0" documentId="8_{3DE0D6CD-41B7-447B-A693-EBE514215BDC}" xr6:coauthVersionLast="47" xr6:coauthVersionMax="47" xr10:uidLastSave="{00000000-0000-0000-0000-000000000000}"/>
  <bookViews>
    <workbookView xWindow="-110" yWindow="-110" windowWidth="19420" windowHeight="10300" xr2:uid="{DA7FE31C-6778-481F-A208-5A2F33169A9B}"/>
  </bookViews>
  <sheets>
    <sheet name="q1" sheetId="1" r:id="rId1"/>
    <sheet name="q2" sheetId="2" r:id="rId2"/>
    <sheet name="q3" sheetId="3" r:id="rId3"/>
    <sheet name="Q4" sheetId="5" r:id="rId4"/>
    <sheet name="q5" sheetId="6" r:id="rId5"/>
    <sheet name="Q6" sheetId="7" r:id="rId6"/>
    <sheet name="q7" sheetId="8" r:id="rId7"/>
    <sheet name="q8" sheetId="9"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9" l="1"/>
  <c r="E21" i="9"/>
  <c r="B33" i="8"/>
  <c r="B24" i="8"/>
  <c r="B20" i="8"/>
  <c r="B16" i="8"/>
  <c r="B12" i="8"/>
  <c r="B30" i="7"/>
  <c r="B26" i="7"/>
  <c r="B22" i="7"/>
  <c r="B18" i="7"/>
  <c r="B13" i="7"/>
  <c r="B27" i="3"/>
  <c r="B41" i="3"/>
  <c r="B34" i="3"/>
  <c r="B20" i="3"/>
  <c r="B13" i="3"/>
  <c r="B22" i="9" l="1"/>
</calcChain>
</file>

<file path=xl/sharedStrings.xml><?xml version="1.0" encoding="utf-8"?>
<sst xmlns="http://schemas.openxmlformats.org/spreadsheetml/2006/main" count="175" uniqueCount="134">
  <si>
    <t>Data Cleaning &amp; Essential Functions</t>
  </si>
  <si>
    <t>What is data cleaning, and why is it important in data analysis? What are the potential consequences of analyzing unclean or messy data? Explain the common steps involved in cleaning and organizing data.</t>
  </si>
  <si>
    <t>Ans</t>
  </si>
  <si>
    <t>Data cleaning is the process of identifying and correcting errors, removing duplicates, handling missing values, and fixing inconsistencies in a dataset.</t>
  </si>
  <si>
    <t>Why it is important:</t>
  </si>
  <si>
    <t>Ensures accurate and reliable analysis</t>
  </si>
  <si>
    <t>Reduces errors in decision-making</t>
  </si>
  <si>
    <t>Saves time during analysis</t>
  </si>
  <si>
    <t>Improves data quality and consistency</t>
  </si>
  <si>
    <t>Consequences of analyzing unclean data:</t>
  </si>
  <si>
    <t>Incorrect or misleading results</t>
  </si>
  <si>
    <t>Poor business decisions</t>
  </si>
  <si>
    <t>Loss of credibility</t>
  </si>
  <si>
    <t>Failed analysis outcomes</t>
  </si>
  <si>
    <t>1.Common steps in data cleaning:</t>
  </si>
  <si>
    <t>2.Remove duplicate records</t>
  </si>
  <si>
    <t>3.Handle missing values</t>
  </si>
  <si>
    <t>4.Standardize data formats</t>
  </si>
  <si>
    <t>5.Correct spelling and typing errors</t>
  </si>
  <si>
    <t>6.Identify and treat outliers</t>
  </si>
  <si>
    <t>Q2.How would you sort the following dataset first by "Department" (A-Z) and then by "Salary" (Largest to Smallest)? Write a step-by-step approach.</t>
  </si>
  <si>
    <t xml:space="preserve">Emloyee </t>
  </si>
  <si>
    <t>Department</t>
  </si>
  <si>
    <t>Salary</t>
  </si>
  <si>
    <t>sonu</t>
  </si>
  <si>
    <t>Rahul</t>
  </si>
  <si>
    <t>Parnav</t>
  </si>
  <si>
    <t>IT</t>
  </si>
  <si>
    <t>HR</t>
  </si>
  <si>
    <t>Step-by-step approach:</t>
  </si>
  <si>
    <t>1.Select the entire dataset</t>
  </si>
  <si>
    <t>2.Go to Data → Sort</t>
  </si>
  <si>
    <t>3.Sort by Department, Order: A to Z</t>
  </si>
  <si>
    <t>4.Click Add Level</t>
  </si>
  <si>
    <t>5.Then sort by Salary, Order: Largest to Smallest</t>
  </si>
  <si>
    <t>6.Click OK</t>
  </si>
  <si>
    <t>3.Explain the use of text functions such as TRIM , LEFT, RIGHT, MID, and CONCAT in data cleaning.</t>
  </si>
  <si>
    <t>TRIM</t>
  </si>
  <si>
    <t>TRIM is used to remove extra spaces from text.</t>
  </si>
  <si>
    <t>Example:</t>
  </si>
  <si>
    <t>LEFT</t>
  </si>
  <si>
    <t>LEFT is used to take characters from the beginning of a text.</t>
  </si>
  <si>
    <t>RIGHT</t>
  </si>
  <si>
    <t>RIGHT is used to take characters from the end of a text.</t>
  </si>
  <si>
    <t>MID</t>
  </si>
  <si>
    <t>MID is used to take text from the middle of a string.</t>
  </si>
  <si>
    <t>Output: Functions</t>
  </si>
  <si>
    <t>CONCAT</t>
  </si>
  <si>
    <t>CONCAT is used to join two or more text values.</t>
  </si>
  <si>
    <r>
      <rPr>
        <b/>
        <i/>
        <u/>
        <sz val="12"/>
        <color theme="1"/>
        <rFont val="Aptos Narrow"/>
        <family val="2"/>
        <scheme val="minor"/>
      </rPr>
      <t>Answer</t>
    </r>
    <r>
      <rPr>
        <sz val="11"/>
        <color theme="1"/>
        <rFont val="Aptos Narrow"/>
        <family val="2"/>
        <scheme val="minor"/>
      </rPr>
      <t xml:space="preserve"> Text functions are used in Excel to clean and manage text data. Sometimes data contains extra spaces, incomplete words, or text that needs to be joined. Text functions help to fix these problems.</t>
    </r>
  </si>
  <si>
    <t>Output: Ram Yadav</t>
  </si>
  <si>
    <t>Output: Data</t>
  </si>
  <si>
    <t>Q4.What is the role of date functions like TODAY in managing datasets ?</t>
  </si>
  <si>
    <t xml:space="preserve">Example:-  </t>
  </si>
  <si>
    <t>Ram</t>
  </si>
  <si>
    <t>yadav</t>
  </si>
  <si>
    <t>Output: Ram yadav</t>
  </si>
  <si>
    <t>Output: Yadav</t>
  </si>
  <si>
    <r>
      <rPr>
        <b/>
        <i/>
        <u/>
        <sz val="12"/>
        <color theme="1"/>
        <rFont val="Aptos Narrow"/>
        <family val="2"/>
        <scheme val="minor"/>
      </rPr>
      <t>Answer</t>
    </r>
    <r>
      <rPr>
        <sz val="11"/>
        <color theme="1"/>
        <rFont val="Aptos Narrow"/>
        <family val="2"/>
        <scheme val="minor"/>
      </rPr>
      <t xml:space="preserve"> :-</t>
    </r>
    <r>
      <rPr>
        <u/>
        <sz val="11"/>
        <color theme="1"/>
        <rFont val="Aptos Narrow"/>
        <family val="2"/>
        <scheme val="minor"/>
      </rPr>
      <t>Date functions like TODAY() are used to show the current date automatically in Excel. These functions are very useful when working with datasets that depend on dates, such as reports, attendance records, and project schedules.
The TODAY() function updates the date automatically whenever the file is opened, which saves time and reduces manual work. It helps in keeping data up to date and accurate. This function is also useful for tracking deadlines, monitoring progress, and managing time-based information in datasets.</t>
    </r>
  </si>
  <si>
    <t>Q5,Apply Data Validation to restrict Quantity values to only whole numbers between 1 and 10</t>
  </si>
  <si>
    <t>A.Configure an input message that appears when a user selects a cell in the "Quantity" column explaining:</t>
  </si>
  <si>
    <t>Please enter a whole number between 1 and 10.</t>
  </si>
  <si>
    <t>Set up an error alert message that triggers if the user enters a number less than 1 or greater than 10, showing:</t>
  </si>
  <si>
    <t>"Invalid input! The quantity must be a whole number between 1 and 10."</t>
  </si>
  <si>
    <t>Customer Name</t>
  </si>
  <si>
    <t>Jane Smith</t>
  </si>
  <si>
    <t>Isabella Moore</t>
  </si>
  <si>
    <t>Daniel Davis</t>
  </si>
  <si>
    <t>Alex Moore</t>
  </si>
  <si>
    <t>Michael Johnson</t>
  </si>
  <si>
    <t>Daniel Johnson</t>
  </si>
  <si>
    <t>Isabella Davis</t>
  </si>
  <si>
    <t>Jane Davis</t>
  </si>
  <si>
    <t>Product Name</t>
  </si>
  <si>
    <t>Categaory</t>
  </si>
  <si>
    <t>Quantity</t>
  </si>
  <si>
    <t>Unit Price($)</t>
  </si>
  <si>
    <t>Shoes</t>
  </si>
  <si>
    <t>Laptop</t>
  </si>
  <si>
    <t>Sofa</t>
  </si>
  <si>
    <t>Table Lamp</t>
  </si>
  <si>
    <t>Backpack</t>
  </si>
  <si>
    <t>Headphones</t>
  </si>
  <si>
    <t>Alex Wilson</t>
  </si>
  <si>
    <t>T-shirt</t>
  </si>
  <si>
    <t>Electronics</t>
  </si>
  <si>
    <t>Clothing</t>
  </si>
  <si>
    <t>Home Décor</t>
  </si>
  <si>
    <t>Write a step-by-step approach for this question</t>
  </si>
  <si>
    <t>Input Message:</t>
  </si>
  <si>
    <t>Message:</t>
  </si>
  <si>
    <t>“Please enter a whole number between 1 and 10.”</t>
  </si>
  <si>
    <t>Error Alert Message:</t>
  </si>
  <si>
    <t>“Invalid input! The quantity must be a whole number between 1 and 10.”</t>
  </si>
  <si>
    <t>Step-by-step approach:-</t>
  </si>
  <si>
    <t>1.Select the Quantity column</t>
  </si>
  <si>
    <t>2.Go to Data → Data Validation</t>
  </si>
  <si>
    <t>4.Set condition Between 1 and 10</t>
  </si>
  <si>
    <t>3.set Allow to Whole Number</t>
  </si>
  <si>
    <t>Q6.Understand and apply fundamental text functions like LEFT, RIGHT, MID, and LEN.</t>
  </si>
  <si>
    <t>A, Extract the first 5 characters from the string "ExcelTipsAreGreat" using the LEFT function.</t>
  </si>
  <si>
    <t>B,Extract the last 4 characters from "DataAnalysis.xlsx" using the RIGHT function.</t>
  </si>
  <si>
    <t>C,Extract the substring "Tips" from "ExcelTipsAreGreat" using the MID function.</t>
  </si>
  <si>
    <t>D,Count the total number of characters in the string "Hello World!" using the LEN function.</t>
  </si>
  <si>
    <t>E,Create a formula to extract the middle 6 characters from "12345-67890-ABCDE"</t>
  </si>
  <si>
    <t>Answer</t>
  </si>
  <si>
    <t>Q7,Understand how to combine text using CONCAT, TEXTJOIN, and the &amp; operator.</t>
  </si>
  <si>
    <t>E)Combine first names in column A with last names in column B to create full names in column C.</t>
  </si>
  <si>
    <t>A),Use CONCAT to combine "Hello" and "World" with a space in between.</t>
  </si>
  <si>
    <t>B),Combine "Apple", "Banana", and "Cherry" into a single string separated by commas using TEXTJOIN</t>
  </si>
  <si>
    <t>C),Use the &amp; operator to create the string "2025: Excel Functions" by combining "2025", ": ", and "Excel Functions".</t>
  </si>
  <si>
    <t>D),Create a comma-separated list from the range A1:A5 using TEXTJOIN</t>
  </si>
  <si>
    <t>shiva</t>
  </si>
  <si>
    <t>Arjun</t>
  </si>
  <si>
    <t>Anchal</t>
  </si>
  <si>
    <t>Kiran</t>
  </si>
  <si>
    <t>D),Create a comma-separated list from the range J23:J27 using TEXTJOIN</t>
  </si>
  <si>
    <t>A</t>
  </si>
  <si>
    <t>B</t>
  </si>
  <si>
    <t>c</t>
  </si>
  <si>
    <t>Yadav</t>
  </si>
  <si>
    <t>Q8,Understanding TODAY() and NOW()</t>
  </si>
  <si>
    <t>A),What is the difference between TODAY() and NOW() in Excel? Provide an example of when you would use_x000B_ each function.</t>
  </si>
  <si>
    <t>B),If cell A1 contains the date 2025-06-10, write a formula using TODAY() to determine how many days are left until that date</t>
  </si>
  <si>
    <t>C),Write an Excel formula using NOW() to display the current date and time in the format MM/DD/YYYY HH:MM AM/PM. ́</t>
  </si>
  <si>
    <t>E),You want to store a static date (today’s date) in a cell without it changing every day. What keyboard shortcut should you use?</t>
  </si>
  <si>
    <t>D),If a cell contains =TODAY(), what will happen when the worksheet is reopened the next day? Explain</t>
  </si>
  <si>
    <t>TODAY() returns only the current date</t>
  </si>
  <si>
    <t>NOW() returns the current date and time</t>
  </si>
  <si>
    <t>Difference:</t>
  </si>
  <si>
    <t>Days left until 2025-06-10:</t>
  </si>
  <si>
    <t>date</t>
  </si>
  <si>
    <t>Keyboard shortcut for static date:</t>
  </si>
  <si>
    <t>Ctrl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</si>
</sst>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10" x14ac:knownFonts="1">
    <font>
      <sz val="11"/>
      <color theme="1"/>
      <name val="Aptos Narrow"/>
      <family val="2"/>
      <scheme val="minor"/>
    </font>
    <font>
      <sz val="11"/>
      <color theme="1"/>
      <name val="Aptos Narrow"/>
      <family val="2"/>
      <scheme val="minor"/>
    </font>
    <font>
      <b/>
      <sz val="11"/>
      <color theme="1"/>
      <name val="Aptos Narrow"/>
      <family val="2"/>
      <scheme val="minor"/>
    </font>
    <font>
      <b/>
      <sz val="11"/>
      <color theme="1"/>
      <name val="Century Gothic"/>
      <family val="2"/>
    </font>
    <font>
      <b/>
      <i/>
      <u/>
      <sz val="11"/>
      <color theme="1"/>
      <name val="Aptos Narrow"/>
      <family val="2"/>
      <scheme val="minor"/>
    </font>
    <font>
      <b/>
      <i/>
      <u/>
      <sz val="12"/>
      <color theme="1"/>
      <name val="Aptos Narrow"/>
      <family val="2"/>
      <scheme val="minor"/>
    </font>
    <font>
      <b/>
      <u/>
      <sz val="11"/>
      <color theme="1"/>
      <name val="Aptos Narrow"/>
      <family val="2"/>
      <scheme val="minor"/>
    </font>
    <font>
      <b/>
      <u/>
      <sz val="12"/>
      <color theme="1"/>
      <name val="Aptos Narrow"/>
      <family val="2"/>
      <scheme val="minor"/>
    </font>
    <font>
      <u/>
      <sz val="11"/>
      <color theme="1"/>
      <name val="Aptos Narrow"/>
      <family val="2"/>
      <scheme val="minor"/>
    </font>
    <font>
      <b/>
      <sz val="16"/>
      <color theme="0"/>
      <name val="Aptos Narrow"/>
      <family val="2"/>
      <scheme val="minor"/>
    </font>
  </fonts>
  <fills count="3">
    <fill>
      <patternFill patternType="none"/>
    </fill>
    <fill>
      <patternFill patternType="gray125"/>
    </fill>
    <fill>
      <patternFill patternType="solid">
        <fgColor theme="7" tint="0.39997558519241921"/>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s>
  <cellStyleXfs count="2">
    <xf numFmtId="0" fontId="0" fillId="0" borderId="0"/>
    <xf numFmtId="44" fontId="1" fillId="0" borderId="0" applyFont="0" applyFill="0" applyBorder="0" applyAlignment="0" applyProtection="0"/>
  </cellStyleXfs>
  <cellXfs count="52">
    <xf numFmtId="0" fontId="0" fillId="0" borderId="0" xfId="0"/>
    <xf numFmtId="0" fontId="0" fillId="0" borderId="0" xfId="0" applyAlignment="1">
      <alignment horizontal="left" vertical="top" wrapText="1"/>
    </xf>
    <xf numFmtId="0" fontId="0" fillId="0" borderId="0" xfId="0" applyAlignment="1">
      <alignment horizontal="left" wrapText="1"/>
    </xf>
    <xf numFmtId="0" fontId="0" fillId="0" borderId="0" xfId="0" applyAlignment="1">
      <alignment horizontal="left"/>
    </xf>
    <xf numFmtId="0" fontId="0" fillId="0" borderId="0" xfId="0" applyAlignment="1">
      <alignment horizontal="left" vertical="top"/>
    </xf>
    <xf numFmtId="0" fontId="0" fillId="0" borderId="0" xfId="0" applyAlignment="1">
      <alignment vertical="top"/>
    </xf>
    <xf numFmtId="0" fontId="2" fillId="0" borderId="1" xfId="0" applyFont="1" applyBorder="1"/>
    <xf numFmtId="0" fontId="0" fillId="0" borderId="1" xfId="0" applyBorder="1"/>
    <xf numFmtId="0" fontId="0" fillId="0" borderId="0" xfId="0" applyAlignment="1">
      <alignment vertical="top" wrapText="1"/>
    </xf>
    <xf numFmtId="0" fontId="2" fillId="0" borderId="2" xfId="0" applyFont="1" applyBorder="1"/>
    <xf numFmtId="0" fontId="2" fillId="0" borderId="1" xfId="0" applyFont="1" applyBorder="1" applyAlignment="1">
      <alignment horizontal="center" vertical="center"/>
    </xf>
    <xf numFmtId="0" fontId="0" fillId="0" borderId="1" xfId="0" applyBorder="1" applyAlignment="1">
      <alignment horizontal="center" vertical="center"/>
    </xf>
    <xf numFmtId="0" fontId="0" fillId="0" borderId="0" xfId="0" applyAlignment="1">
      <alignment horizontal="center" vertical="center"/>
    </xf>
    <xf numFmtId="0" fontId="2" fillId="0" borderId="0" xfId="0" applyFont="1" applyAlignment="1">
      <alignment horizontal="left" vertical="top"/>
    </xf>
    <xf numFmtId="0" fontId="0" fillId="0" borderId="0" xfId="0" applyAlignment="1">
      <alignment vertical="top"/>
    </xf>
    <xf numFmtId="0" fontId="0" fillId="0" borderId="0" xfId="0" applyAlignment="1">
      <alignment horizontal="center" vertical="top"/>
    </xf>
    <xf numFmtId="0" fontId="2" fillId="0" borderId="0" xfId="0" applyFont="1" applyAlignment="1">
      <alignment vertical="top"/>
    </xf>
    <xf numFmtId="44" fontId="3" fillId="0" borderId="0" xfId="1" applyFont="1" applyFill="1" applyAlignment="1">
      <alignment horizontal="left" vertical="top" wrapText="1"/>
    </xf>
    <xf numFmtId="0" fontId="2" fillId="0" borderId="0" xfId="0" applyFont="1" applyAlignment="1">
      <alignment horizontal="center"/>
    </xf>
    <xf numFmtId="0" fontId="2" fillId="0" borderId="0" xfId="0" applyFont="1" applyAlignment="1">
      <alignment horizontal="left" wrapText="1"/>
    </xf>
    <xf numFmtId="0" fontId="0" fillId="0" borderId="0" xfId="0" applyAlignment="1">
      <alignment horizontal="left"/>
    </xf>
    <xf numFmtId="0" fontId="2" fillId="0" borderId="0" xfId="0" applyFont="1" applyAlignment="1">
      <alignment horizontal="left"/>
    </xf>
    <xf numFmtId="0" fontId="0" fillId="0" borderId="3" xfId="0" applyBorder="1" applyAlignment="1">
      <alignment horizontal="center"/>
    </xf>
    <xf numFmtId="0" fontId="4" fillId="0" borderId="1" xfId="0" applyFont="1" applyBorder="1" applyAlignment="1">
      <alignment horizontal="left"/>
    </xf>
    <xf numFmtId="0" fontId="0" fillId="0" borderId="1" xfId="0" applyBorder="1" applyAlignment="1">
      <alignment horizontal="left"/>
    </xf>
    <xf numFmtId="0" fontId="2" fillId="0" borderId="3" xfId="0" applyFont="1" applyBorder="1" applyAlignment="1">
      <alignment horizontal="center"/>
    </xf>
    <xf numFmtId="0" fontId="2" fillId="0" borderId="4" xfId="0" applyFont="1" applyBorder="1" applyAlignment="1">
      <alignment horizontal="center"/>
    </xf>
    <xf numFmtId="0" fontId="4" fillId="0" borderId="1" xfId="0" applyFont="1" applyBorder="1"/>
    <xf numFmtId="0" fontId="0" fillId="0" borderId="1" xfId="0" applyBorder="1"/>
    <xf numFmtId="0" fontId="6" fillId="0" borderId="1" xfId="0" applyFont="1" applyBorder="1"/>
    <xf numFmtId="0" fontId="4" fillId="0" borderId="1" xfId="0" applyFont="1" applyBorder="1" applyAlignment="1">
      <alignment horizontal="center"/>
    </xf>
    <xf numFmtId="0" fontId="7" fillId="0" borderId="1" xfId="0" applyFont="1" applyBorder="1" applyAlignment="1">
      <alignment horizontal="left"/>
    </xf>
    <xf numFmtId="0" fontId="5" fillId="0" borderId="1" xfId="0" applyFont="1" applyBorder="1" applyAlignment="1">
      <alignment horizontal="left"/>
    </xf>
    <xf numFmtId="0" fontId="0" fillId="0" borderId="5" xfId="0" applyBorder="1" applyAlignment="1">
      <alignment horizontal="center"/>
    </xf>
    <xf numFmtId="0" fontId="2" fillId="0" borderId="0" xfId="0" applyFont="1" applyAlignment="1">
      <alignment horizontal="left" vertical="top" wrapText="1"/>
    </xf>
    <xf numFmtId="0" fontId="0" fillId="0" borderId="0" xfId="0" applyAlignment="1">
      <alignment horizontal="left" vertical="top" wrapText="1"/>
    </xf>
    <xf numFmtId="0" fontId="5" fillId="0" borderId="1" xfId="0" applyFont="1" applyBorder="1" applyAlignment="1">
      <alignment horizontal="center"/>
    </xf>
    <xf numFmtId="0" fontId="0" fillId="0" borderId="6" xfId="0" applyBorder="1" applyAlignment="1">
      <alignment horizontal="left" vertical="top" wrapText="1"/>
    </xf>
    <xf numFmtId="0" fontId="2" fillId="0" borderId="0" xfId="0" applyFont="1" applyAlignment="1">
      <alignment horizontal="left" vertical="top"/>
    </xf>
    <xf numFmtId="0" fontId="0" fillId="0" borderId="0" xfId="0" applyAlignment="1">
      <alignment horizontal="left" vertical="top"/>
    </xf>
    <xf numFmtId="0" fontId="0" fillId="0" borderId="0" xfId="0"/>
    <xf numFmtId="0" fontId="0" fillId="0" borderId="0" xfId="0" applyAlignment="1">
      <alignment horizontal="center"/>
    </xf>
    <xf numFmtId="0" fontId="2" fillId="0" borderId="0" xfId="0" applyFont="1"/>
    <xf numFmtId="0" fontId="2" fillId="0" borderId="1" xfId="0" applyFont="1" applyBorder="1" applyAlignment="1">
      <alignment horizontal="center"/>
    </xf>
    <xf numFmtId="0" fontId="0" fillId="0" borderId="1" xfId="0" applyBorder="1" applyAlignment="1">
      <alignment horizontal="center"/>
    </xf>
    <xf numFmtId="0" fontId="2" fillId="0" borderId="1" xfId="0" applyFont="1" applyBorder="1" applyAlignment="1">
      <alignment horizontal="center"/>
    </xf>
    <xf numFmtId="0" fontId="0" fillId="0" borderId="0" xfId="0" applyAlignment="1"/>
    <xf numFmtId="14" fontId="0" fillId="0" borderId="0" xfId="0" applyNumberFormat="1"/>
    <xf numFmtId="14" fontId="0" fillId="0" borderId="1" xfId="0" applyNumberFormat="1" applyBorder="1" applyAlignment="1">
      <alignment horizontal="center"/>
    </xf>
    <xf numFmtId="0" fontId="0" fillId="0" borderId="1" xfId="0" applyNumberFormat="1" applyBorder="1" applyAlignment="1">
      <alignment horizontal="center"/>
    </xf>
    <xf numFmtId="14" fontId="0" fillId="0" borderId="1" xfId="0" applyNumberFormat="1" applyBorder="1"/>
    <xf numFmtId="0" fontId="9" fillId="2" borderId="0" xfId="0" applyFont="1" applyFill="1" applyAlignment="1">
      <alignment horizontal="center" vertical="center"/>
    </xf>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054EF-9307-4A34-A7AF-B2D318C423EF}">
  <dimension ref="A3:K35"/>
  <sheetViews>
    <sheetView tabSelected="1" workbookViewId="0">
      <pane ySplit="13" topLeftCell="A14" activePane="bottomLeft" state="frozen"/>
      <selection pane="bottomLeft" activeCell="E3" sqref="E3:K4"/>
    </sheetView>
  </sheetViews>
  <sheetFormatPr defaultRowHeight="14.5" x14ac:dyDescent="0.35"/>
  <sheetData>
    <row r="3" spans="1:11" x14ac:dyDescent="0.35">
      <c r="E3" s="51" t="s">
        <v>0</v>
      </c>
      <c r="F3" s="51"/>
      <c r="G3" s="51"/>
      <c r="H3" s="51"/>
      <c r="I3" s="51"/>
      <c r="J3" s="51"/>
      <c r="K3" s="51"/>
    </row>
    <row r="4" spans="1:11" x14ac:dyDescent="0.35">
      <c r="E4" s="51"/>
      <c r="F4" s="51"/>
      <c r="G4" s="51"/>
      <c r="H4" s="51"/>
      <c r="I4" s="51"/>
      <c r="J4" s="51"/>
      <c r="K4" s="51"/>
    </row>
    <row r="7" spans="1:11" ht="14.5" customHeight="1" x14ac:dyDescent="0.35">
      <c r="B7" s="17" t="s">
        <v>1</v>
      </c>
      <c r="C7" s="17"/>
      <c r="D7" s="17"/>
      <c r="E7" s="17"/>
      <c r="F7" s="17"/>
      <c r="G7" s="17"/>
      <c r="H7" s="17"/>
      <c r="I7" s="17"/>
      <c r="J7" s="17"/>
    </row>
    <row r="8" spans="1:11" x14ac:dyDescent="0.35">
      <c r="B8" s="17"/>
      <c r="C8" s="17"/>
      <c r="D8" s="17"/>
      <c r="E8" s="17"/>
      <c r="F8" s="17"/>
      <c r="G8" s="17"/>
      <c r="H8" s="17"/>
      <c r="I8" s="17"/>
      <c r="J8" s="17"/>
    </row>
    <row r="9" spans="1:11" x14ac:dyDescent="0.35">
      <c r="B9" s="17"/>
      <c r="C9" s="17"/>
      <c r="D9" s="17"/>
      <c r="E9" s="17"/>
      <c r="F9" s="17"/>
      <c r="G9" s="17"/>
      <c r="H9" s="17"/>
      <c r="I9" s="17"/>
      <c r="J9" s="17"/>
    </row>
    <row r="10" spans="1:11" x14ac:dyDescent="0.35">
      <c r="B10" s="17"/>
      <c r="C10" s="17"/>
      <c r="D10" s="17"/>
      <c r="E10" s="17"/>
      <c r="F10" s="17"/>
      <c r="G10" s="17"/>
      <c r="H10" s="17"/>
      <c r="I10" s="17"/>
      <c r="J10" s="17"/>
    </row>
    <row r="12" spans="1:11" x14ac:dyDescent="0.35">
      <c r="A12" t="s">
        <v>2</v>
      </c>
      <c r="B12" s="19" t="s">
        <v>3</v>
      </c>
      <c r="C12" s="19"/>
      <c r="D12" s="19"/>
      <c r="E12" s="19"/>
      <c r="F12" s="19"/>
      <c r="G12" s="19"/>
      <c r="H12" s="19"/>
      <c r="I12" s="19"/>
      <c r="J12" s="19"/>
    </row>
    <row r="13" spans="1:11" x14ac:dyDescent="0.35">
      <c r="B13" s="19"/>
      <c r="C13" s="19"/>
      <c r="D13" s="19"/>
      <c r="E13" s="19"/>
      <c r="F13" s="19"/>
      <c r="G13" s="19"/>
      <c r="H13" s="19"/>
      <c r="I13" s="19"/>
      <c r="J13" s="19"/>
    </row>
    <row r="14" spans="1:11" x14ac:dyDescent="0.35">
      <c r="B14" s="2"/>
      <c r="C14" s="2"/>
      <c r="D14" s="2"/>
      <c r="E14" s="2"/>
      <c r="F14" s="2"/>
      <c r="G14" s="2"/>
      <c r="H14" s="2"/>
      <c r="I14" s="2"/>
      <c r="J14" s="2"/>
    </row>
    <row r="15" spans="1:11" x14ac:dyDescent="0.35">
      <c r="B15" s="21" t="s">
        <v>4</v>
      </c>
      <c r="C15" s="21"/>
      <c r="D15" s="21"/>
    </row>
    <row r="17" spans="2:6" x14ac:dyDescent="0.35">
      <c r="B17" s="14" t="s">
        <v>5</v>
      </c>
      <c r="C17" s="14"/>
      <c r="D17" s="14"/>
      <c r="E17" s="14"/>
    </row>
    <row r="18" spans="2:6" x14ac:dyDescent="0.35">
      <c r="B18" s="14" t="s">
        <v>6</v>
      </c>
      <c r="C18" s="14"/>
      <c r="D18" s="14"/>
      <c r="E18" s="14"/>
    </row>
    <row r="19" spans="2:6" x14ac:dyDescent="0.35">
      <c r="B19" s="14" t="s">
        <v>7</v>
      </c>
      <c r="C19" s="14"/>
      <c r="D19" s="14"/>
      <c r="E19" s="14"/>
    </row>
    <row r="20" spans="2:6" x14ac:dyDescent="0.35">
      <c r="B20" s="14" t="s">
        <v>8</v>
      </c>
      <c r="C20" s="14"/>
      <c r="D20" s="14"/>
      <c r="E20" s="14"/>
    </row>
    <row r="21" spans="2:6" x14ac:dyDescent="0.35">
      <c r="B21" s="15"/>
      <c r="C21" s="15"/>
      <c r="D21" s="15"/>
      <c r="E21" s="15"/>
      <c r="F21" s="15"/>
    </row>
    <row r="22" spans="2:6" x14ac:dyDescent="0.35">
      <c r="B22" s="16" t="s">
        <v>9</v>
      </c>
      <c r="C22" s="16"/>
      <c r="D22" s="16"/>
      <c r="E22" s="16"/>
    </row>
    <row r="23" spans="2:6" x14ac:dyDescent="0.35">
      <c r="B23" s="15"/>
      <c r="C23" s="15"/>
      <c r="D23" s="15"/>
      <c r="E23" s="15"/>
      <c r="F23" s="15"/>
    </row>
    <row r="24" spans="2:6" x14ac:dyDescent="0.35">
      <c r="B24" s="14" t="s">
        <v>10</v>
      </c>
      <c r="C24" s="14"/>
      <c r="D24" s="14"/>
      <c r="E24" s="14"/>
    </row>
    <row r="25" spans="2:6" x14ac:dyDescent="0.35">
      <c r="B25" s="14" t="s">
        <v>11</v>
      </c>
      <c r="C25" s="14"/>
      <c r="D25" s="14"/>
      <c r="E25" s="14"/>
    </row>
    <row r="26" spans="2:6" x14ac:dyDescent="0.35">
      <c r="B26" s="14" t="s">
        <v>12</v>
      </c>
      <c r="C26" s="14"/>
      <c r="D26" s="14"/>
      <c r="E26" s="14"/>
    </row>
    <row r="27" spans="2:6" x14ac:dyDescent="0.35">
      <c r="B27" s="15"/>
      <c r="C27" s="15"/>
      <c r="D27" s="15"/>
      <c r="E27" s="15"/>
      <c r="F27" s="15"/>
    </row>
    <row r="28" spans="2:6" x14ac:dyDescent="0.35">
      <c r="B28" s="16" t="s">
        <v>13</v>
      </c>
      <c r="C28" s="16"/>
      <c r="D28" s="16"/>
      <c r="E28" s="16"/>
    </row>
    <row r="29" spans="2:6" x14ac:dyDescent="0.35">
      <c r="B29" s="5"/>
      <c r="C29" s="5"/>
      <c r="D29" s="5"/>
      <c r="E29" s="5"/>
    </row>
    <row r="30" spans="2:6" x14ac:dyDescent="0.35">
      <c r="B30" s="14" t="s">
        <v>14</v>
      </c>
      <c r="C30" s="14"/>
      <c r="D30" s="14"/>
      <c r="E30" s="14"/>
    </row>
    <row r="31" spans="2:6" x14ac:dyDescent="0.35">
      <c r="B31" s="14" t="s">
        <v>15</v>
      </c>
      <c r="C31" s="14"/>
      <c r="D31" s="14"/>
      <c r="E31" s="14"/>
    </row>
    <row r="32" spans="2:6" x14ac:dyDescent="0.35">
      <c r="B32" s="14" t="s">
        <v>16</v>
      </c>
      <c r="C32" s="14"/>
      <c r="D32" s="14"/>
      <c r="E32" s="14"/>
    </row>
    <row r="33" spans="2:5" x14ac:dyDescent="0.35">
      <c r="B33" s="14" t="s">
        <v>17</v>
      </c>
      <c r="C33" s="14"/>
      <c r="D33" s="14"/>
      <c r="E33" s="14"/>
    </row>
    <row r="34" spans="2:5" x14ac:dyDescent="0.35">
      <c r="B34" s="14" t="s">
        <v>18</v>
      </c>
      <c r="C34" s="14"/>
      <c r="D34" s="14"/>
      <c r="E34" s="14"/>
    </row>
    <row r="35" spans="2:5" x14ac:dyDescent="0.35">
      <c r="B35" s="14" t="s">
        <v>19</v>
      </c>
      <c r="C35" s="14"/>
      <c r="D35" s="14"/>
      <c r="E35" s="14"/>
    </row>
  </sheetData>
  <mergeCells count="22">
    <mergeCell ref="B7:J10"/>
    <mergeCell ref="B12:J13"/>
    <mergeCell ref="B15:D15"/>
    <mergeCell ref="E3:K4"/>
    <mergeCell ref="B17:E17"/>
    <mergeCell ref="B18:E18"/>
    <mergeCell ref="B19:E19"/>
    <mergeCell ref="B20:E20"/>
    <mergeCell ref="B22:E22"/>
    <mergeCell ref="B33:E33"/>
    <mergeCell ref="B34:E34"/>
    <mergeCell ref="B35:E35"/>
    <mergeCell ref="B21:F21"/>
    <mergeCell ref="B27:F27"/>
    <mergeCell ref="B23:F23"/>
    <mergeCell ref="B25:E25"/>
    <mergeCell ref="B26:E26"/>
    <mergeCell ref="B28:E28"/>
    <mergeCell ref="B30:E30"/>
    <mergeCell ref="B31:E31"/>
    <mergeCell ref="B32:E32"/>
    <mergeCell ref="B24:E2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8405AA-8F40-4781-9AEB-AE1C1D7C8D83}">
  <dimension ref="B2:J18"/>
  <sheetViews>
    <sheetView topLeftCell="A4" workbookViewId="0">
      <selection activeCell="F13" sqref="F13"/>
    </sheetView>
  </sheetViews>
  <sheetFormatPr defaultRowHeight="14.5" x14ac:dyDescent="0.35"/>
  <cols>
    <col min="3" max="3" width="10.54296875" bestFit="1" customWidth="1"/>
    <col min="4" max="4" width="6" bestFit="1" customWidth="1"/>
  </cols>
  <sheetData>
    <row r="2" spans="2:10" x14ac:dyDescent="0.35">
      <c r="B2" s="19" t="s">
        <v>20</v>
      </c>
      <c r="C2" s="19"/>
      <c r="D2" s="19"/>
      <c r="E2" s="19"/>
      <c r="F2" s="19"/>
      <c r="G2" s="19"/>
      <c r="H2" s="19"/>
      <c r="I2" s="19"/>
      <c r="J2" s="19"/>
    </row>
    <row r="3" spans="2:10" x14ac:dyDescent="0.35">
      <c r="B3" s="19"/>
      <c r="C3" s="19"/>
      <c r="D3" s="19"/>
      <c r="E3" s="19"/>
      <c r="F3" s="19"/>
      <c r="G3" s="19"/>
      <c r="H3" s="19"/>
      <c r="I3" s="19"/>
      <c r="J3" s="19"/>
    </row>
    <row r="5" spans="2:10" x14ac:dyDescent="0.35">
      <c r="B5" s="6" t="s">
        <v>21</v>
      </c>
      <c r="C5" s="6" t="s">
        <v>22</v>
      </c>
      <c r="D5" s="6" t="s">
        <v>23</v>
      </c>
    </row>
    <row r="6" spans="2:10" x14ac:dyDescent="0.35">
      <c r="B6" s="7" t="s">
        <v>26</v>
      </c>
      <c r="C6" s="7" t="s">
        <v>28</v>
      </c>
      <c r="D6" s="7">
        <v>5000</v>
      </c>
    </row>
    <row r="7" spans="2:10" x14ac:dyDescent="0.35">
      <c r="B7" s="7" t="s">
        <v>25</v>
      </c>
      <c r="C7" s="7" t="s">
        <v>27</v>
      </c>
      <c r="D7" s="7">
        <v>2500</v>
      </c>
    </row>
    <row r="8" spans="2:10" x14ac:dyDescent="0.35">
      <c r="B8" s="7" t="s">
        <v>24</v>
      </c>
      <c r="C8" s="7" t="s">
        <v>27</v>
      </c>
      <c r="D8" s="7">
        <v>4000</v>
      </c>
    </row>
    <row r="11" spans="2:10" x14ac:dyDescent="0.35">
      <c r="B11" s="21" t="s">
        <v>29</v>
      </c>
      <c r="C11" s="21"/>
      <c r="D11" s="21"/>
    </row>
    <row r="12" spans="2:10" x14ac:dyDescent="0.35">
      <c r="B12" s="18"/>
      <c r="C12" s="18"/>
      <c r="D12" s="18"/>
    </row>
    <row r="13" spans="2:10" x14ac:dyDescent="0.35">
      <c r="B13" s="20" t="s">
        <v>30</v>
      </c>
      <c r="C13" s="20"/>
      <c r="D13" s="20"/>
      <c r="E13" s="3"/>
      <c r="F13" s="3"/>
    </row>
    <row r="14" spans="2:10" x14ac:dyDescent="0.35">
      <c r="B14" s="20" t="s">
        <v>31</v>
      </c>
      <c r="C14" s="20"/>
      <c r="D14" s="20"/>
      <c r="E14" s="3"/>
      <c r="F14" s="3"/>
    </row>
    <row r="15" spans="2:10" x14ac:dyDescent="0.35">
      <c r="B15" t="s">
        <v>32</v>
      </c>
    </row>
    <row r="16" spans="2:10" x14ac:dyDescent="0.35">
      <c r="B16" s="20" t="s">
        <v>33</v>
      </c>
      <c r="C16" s="20"/>
      <c r="D16" s="20"/>
      <c r="E16" s="20"/>
      <c r="F16" s="20"/>
    </row>
    <row r="17" spans="2:6" x14ac:dyDescent="0.35">
      <c r="B17" s="20" t="s">
        <v>34</v>
      </c>
      <c r="C17" s="20"/>
      <c r="D17" s="20"/>
      <c r="E17" s="20"/>
      <c r="F17" s="20"/>
    </row>
    <row r="18" spans="2:6" x14ac:dyDescent="0.35">
      <c r="B18" s="3" t="s">
        <v>35</v>
      </c>
      <c r="C18" s="3"/>
      <c r="D18" s="3"/>
      <c r="E18" s="3"/>
      <c r="F18" s="3"/>
    </row>
  </sheetData>
  <sortState xmlns:xlrd2="http://schemas.microsoft.com/office/spreadsheetml/2017/richdata2" ref="B6:D8">
    <sortCondition ref="B6:B8"/>
  </sortState>
  <mergeCells count="7">
    <mergeCell ref="B17:F17"/>
    <mergeCell ref="B16:F16"/>
    <mergeCell ref="B2:J3"/>
    <mergeCell ref="B11:D11"/>
    <mergeCell ref="B12:D12"/>
    <mergeCell ref="B13:D13"/>
    <mergeCell ref="B14:D1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9058C-A0F7-40D6-BAF0-EC4A5AA9EFD6}">
  <dimension ref="B2:J42"/>
  <sheetViews>
    <sheetView workbookViewId="0">
      <pane ySplit="7" topLeftCell="A8" activePane="bottomLeft" state="frozen"/>
      <selection pane="bottomLeft" activeCell="N10" sqref="N10"/>
    </sheetView>
  </sheetViews>
  <sheetFormatPr defaultRowHeight="14.5" x14ac:dyDescent="0.35"/>
  <sheetData>
    <row r="2" spans="2:10" x14ac:dyDescent="0.35">
      <c r="B2" s="34" t="s">
        <v>36</v>
      </c>
      <c r="C2" s="34"/>
      <c r="D2" s="34"/>
      <c r="E2" s="34"/>
      <c r="F2" s="34"/>
      <c r="G2" s="34"/>
      <c r="H2" s="34"/>
      <c r="I2" s="34"/>
    </row>
    <row r="3" spans="2:10" x14ac:dyDescent="0.35">
      <c r="B3" s="34"/>
      <c r="C3" s="34"/>
      <c r="D3" s="34"/>
      <c r="E3" s="34"/>
      <c r="F3" s="34"/>
      <c r="G3" s="34"/>
      <c r="H3" s="34"/>
      <c r="I3" s="34"/>
    </row>
    <row r="5" spans="2:10" ht="14.5" customHeight="1" x14ac:dyDescent="0.35">
      <c r="B5" s="35" t="s">
        <v>49</v>
      </c>
      <c r="C5" s="35"/>
      <c r="D5" s="35"/>
      <c r="E5" s="35"/>
      <c r="F5" s="35"/>
      <c r="G5" s="35"/>
      <c r="H5" s="35"/>
      <c r="I5" s="35"/>
      <c r="J5" s="35"/>
    </row>
    <row r="6" spans="2:10" x14ac:dyDescent="0.35">
      <c r="B6" s="35"/>
      <c r="C6" s="35"/>
      <c r="D6" s="35"/>
      <c r="E6" s="35"/>
      <c r="F6" s="35"/>
      <c r="G6" s="35"/>
      <c r="H6" s="35"/>
      <c r="I6" s="35"/>
      <c r="J6" s="35"/>
    </row>
    <row r="7" spans="2:10" x14ac:dyDescent="0.35">
      <c r="B7" s="35"/>
      <c r="C7" s="35"/>
      <c r="D7" s="35"/>
      <c r="E7" s="35"/>
      <c r="F7" s="35"/>
      <c r="G7" s="35"/>
      <c r="H7" s="35"/>
      <c r="I7" s="35"/>
      <c r="J7" s="35"/>
    </row>
    <row r="8" spans="2:10" x14ac:dyDescent="0.35">
      <c r="B8" s="1"/>
      <c r="C8" s="1"/>
      <c r="D8" s="1"/>
      <c r="E8" s="1"/>
      <c r="F8" s="1"/>
      <c r="G8" s="1"/>
      <c r="H8" s="1"/>
      <c r="I8" s="1"/>
      <c r="J8" s="1"/>
    </row>
    <row r="9" spans="2:10" ht="16" x14ac:dyDescent="0.4">
      <c r="B9" s="32" t="s">
        <v>37</v>
      </c>
      <c r="C9" s="32"/>
      <c r="D9" s="32"/>
      <c r="E9" s="32"/>
      <c r="F9" s="32"/>
    </row>
    <row r="10" spans="2:10" ht="16" x14ac:dyDescent="0.4">
      <c r="B10" s="36"/>
      <c r="C10" s="36"/>
      <c r="D10" s="36"/>
      <c r="E10" s="36"/>
      <c r="F10" s="36"/>
    </row>
    <row r="11" spans="2:10" x14ac:dyDescent="0.35">
      <c r="B11" s="7" t="s">
        <v>38</v>
      </c>
      <c r="C11" s="7"/>
      <c r="D11" s="7"/>
      <c r="E11" s="7"/>
      <c r="F11" s="7"/>
    </row>
    <row r="12" spans="2:10" ht="16" x14ac:dyDescent="0.4">
      <c r="B12" s="32" t="s">
        <v>39</v>
      </c>
      <c r="C12" s="32"/>
      <c r="D12" s="32"/>
      <c r="E12" s="32"/>
      <c r="F12" s="32"/>
    </row>
    <row r="13" spans="2:10" x14ac:dyDescent="0.35">
      <c r="B13" s="24" t="str">
        <f>TRIM(" Ram Yadav ")</f>
        <v>Ram Yadav</v>
      </c>
      <c r="C13" s="24"/>
      <c r="D13" s="24"/>
      <c r="E13" s="24"/>
      <c r="F13" s="24"/>
    </row>
    <row r="14" spans="2:10" x14ac:dyDescent="0.35">
      <c r="B14" s="24" t="s">
        <v>50</v>
      </c>
      <c r="C14" s="24"/>
      <c r="D14" s="24"/>
      <c r="E14" s="24"/>
      <c r="F14" s="24"/>
    </row>
    <row r="15" spans="2:10" x14ac:dyDescent="0.35">
      <c r="B15" s="33"/>
      <c r="C15" s="33"/>
      <c r="D15" s="33"/>
      <c r="E15" s="33"/>
      <c r="F15" s="33"/>
      <c r="G15" s="33"/>
    </row>
    <row r="16" spans="2:10" ht="16" x14ac:dyDescent="0.4">
      <c r="B16" s="31" t="s">
        <v>40</v>
      </c>
      <c r="C16" s="31"/>
      <c r="D16" s="31"/>
      <c r="E16" s="31"/>
      <c r="F16" s="31"/>
      <c r="G16" s="31"/>
    </row>
    <row r="17" spans="2:7" ht="16" x14ac:dyDescent="0.4">
      <c r="B17" s="31"/>
      <c r="C17" s="31"/>
      <c r="D17" s="31"/>
      <c r="E17" s="31"/>
      <c r="F17" s="31"/>
      <c r="G17" s="31"/>
    </row>
    <row r="18" spans="2:7" x14ac:dyDescent="0.35">
      <c r="B18" s="24" t="s">
        <v>41</v>
      </c>
      <c r="C18" s="24"/>
      <c r="D18" s="24"/>
      <c r="E18" s="24"/>
      <c r="F18" s="24"/>
      <c r="G18" s="24"/>
    </row>
    <row r="19" spans="2:7" ht="16" x14ac:dyDescent="0.4">
      <c r="B19" s="32" t="s">
        <v>39</v>
      </c>
      <c r="C19" s="32"/>
      <c r="D19" s="32"/>
      <c r="E19" s="32"/>
      <c r="F19" s="32"/>
      <c r="G19" s="32"/>
    </row>
    <row r="20" spans="2:7" x14ac:dyDescent="0.35">
      <c r="B20" s="24" t="str">
        <f>LEFT("DataAnalaysis",4)</f>
        <v>Data</v>
      </c>
      <c r="C20" s="24"/>
      <c r="D20" s="24"/>
      <c r="E20" s="24"/>
      <c r="F20" s="24"/>
      <c r="G20" s="24"/>
    </row>
    <row r="21" spans="2:7" x14ac:dyDescent="0.35">
      <c r="B21" s="24" t="s">
        <v>51</v>
      </c>
      <c r="C21" s="24"/>
      <c r="D21" s="24"/>
      <c r="E21" s="24"/>
      <c r="F21" s="24"/>
      <c r="G21" s="24"/>
    </row>
    <row r="22" spans="2:7" x14ac:dyDescent="0.35">
      <c r="B22" s="22"/>
      <c r="C22" s="22"/>
      <c r="D22" s="22"/>
      <c r="E22" s="22"/>
      <c r="F22" s="22"/>
      <c r="G22" s="22"/>
    </row>
    <row r="23" spans="2:7" x14ac:dyDescent="0.35">
      <c r="B23" s="27" t="s">
        <v>42</v>
      </c>
      <c r="C23" s="27"/>
      <c r="D23" s="27"/>
      <c r="E23" s="27"/>
      <c r="F23" s="27"/>
      <c r="G23" s="27"/>
    </row>
    <row r="24" spans="2:7" x14ac:dyDescent="0.35">
      <c r="B24" s="27"/>
      <c r="C24" s="27"/>
      <c r="D24" s="27"/>
      <c r="E24" s="27"/>
      <c r="F24" s="27"/>
      <c r="G24" s="27"/>
    </row>
    <row r="25" spans="2:7" x14ac:dyDescent="0.35">
      <c r="B25" s="28" t="s">
        <v>43</v>
      </c>
      <c r="C25" s="28"/>
      <c r="D25" s="28"/>
      <c r="E25" s="28"/>
      <c r="F25" s="28"/>
      <c r="G25" s="28"/>
    </row>
    <row r="26" spans="2:7" x14ac:dyDescent="0.35">
      <c r="B26" s="27" t="s">
        <v>39</v>
      </c>
      <c r="C26" s="27"/>
      <c r="D26" s="27"/>
      <c r="E26" s="27"/>
      <c r="F26" s="27"/>
      <c r="G26" s="27"/>
    </row>
    <row r="27" spans="2:7" x14ac:dyDescent="0.35">
      <c r="B27" s="28" t="str">
        <f>RIGHT("RamYadav",5)</f>
        <v>Yadav</v>
      </c>
      <c r="C27" s="28"/>
      <c r="D27" s="28"/>
      <c r="E27" s="28"/>
      <c r="F27" s="28"/>
      <c r="G27" s="28"/>
    </row>
    <row r="28" spans="2:7" x14ac:dyDescent="0.35">
      <c r="B28" s="28" t="s">
        <v>57</v>
      </c>
      <c r="C28" s="28"/>
      <c r="D28" s="28"/>
      <c r="E28" s="28"/>
      <c r="F28" s="28"/>
      <c r="G28" s="28"/>
    </row>
    <row r="29" spans="2:7" x14ac:dyDescent="0.35">
      <c r="B29" s="22"/>
      <c r="C29" s="22"/>
      <c r="D29" s="22"/>
      <c r="E29" s="22"/>
      <c r="F29" s="22"/>
      <c r="G29" s="22"/>
    </row>
    <row r="30" spans="2:7" x14ac:dyDescent="0.35">
      <c r="B30" s="27" t="s">
        <v>44</v>
      </c>
      <c r="C30" s="27"/>
      <c r="D30" s="27"/>
      <c r="E30" s="27"/>
      <c r="F30" s="27"/>
      <c r="G30" s="27"/>
    </row>
    <row r="31" spans="2:7" x14ac:dyDescent="0.35">
      <c r="B31" s="30"/>
      <c r="C31" s="30"/>
      <c r="D31" s="30"/>
      <c r="E31" s="30"/>
      <c r="F31" s="30"/>
      <c r="G31" s="30"/>
    </row>
    <row r="32" spans="2:7" x14ac:dyDescent="0.35">
      <c r="B32" s="28" t="s">
        <v>45</v>
      </c>
      <c r="C32" s="28"/>
      <c r="D32" s="28"/>
      <c r="E32" s="28"/>
      <c r="F32" s="28"/>
      <c r="G32" s="28"/>
    </row>
    <row r="33" spans="2:7" x14ac:dyDescent="0.35">
      <c r="B33" s="29" t="s">
        <v>39</v>
      </c>
      <c r="C33" s="29"/>
      <c r="D33" s="29"/>
      <c r="E33" s="29"/>
      <c r="F33" s="29"/>
      <c r="G33" s="29"/>
    </row>
    <row r="34" spans="2:7" x14ac:dyDescent="0.35">
      <c r="B34" s="28" t="str">
        <f>MID("ExcelFunctions",6,9)</f>
        <v>Functions</v>
      </c>
      <c r="C34" s="28"/>
      <c r="D34" s="28"/>
      <c r="E34" s="28"/>
      <c r="F34" s="28"/>
      <c r="G34" s="28"/>
    </row>
    <row r="35" spans="2:7" x14ac:dyDescent="0.35">
      <c r="B35" s="28" t="s">
        <v>46</v>
      </c>
      <c r="C35" s="28"/>
      <c r="D35" s="28"/>
      <c r="E35" s="28"/>
      <c r="F35" s="28"/>
      <c r="G35" s="28"/>
    </row>
    <row r="36" spans="2:7" x14ac:dyDescent="0.35">
      <c r="B36" s="22"/>
      <c r="C36" s="22"/>
      <c r="D36" s="22"/>
      <c r="E36" s="22"/>
      <c r="F36" s="22"/>
      <c r="G36" s="22"/>
    </row>
    <row r="37" spans="2:7" x14ac:dyDescent="0.35">
      <c r="B37" s="23" t="s">
        <v>47</v>
      </c>
      <c r="C37" s="23"/>
      <c r="D37" s="23"/>
      <c r="E37" s="23"/>
      <c r="F37" s="23"/>
      <c r="G37" s="23"/>
    </row>
    <row r="38" spans="2:7" x14ac:dyDescent="0.35">
      <c r="B38" s="24"/>
      <c r="C38" s="24"/>
      <c r="D38" s="24"/>
      <c r="E38" s="24"/>
      <c r="F38" s="24"/>
      <c r="G38" s="24"/>
    </row>
    <row r="39" spans="2:7" x14ac:dyDescent="0.35">
      <c r="B39" s="24" t="s">
        <v>48</v>
      </c>
      <c r="C39" s="24"/>
      <c r="D39" s="24"/>
      <c r="E39" s="24"/>
      <c r="F39" s="24"/>
      <c r="G39" s="24"/>
    </row>
    <row r="40" spans="2:7" x14ac:dyDescent="0.35">
      <c r="B40" s="6" t="s">
        <v>53</v>
      </c>
      <c r="C40" s="6"/>
      <c r="D40" s="6" t="s">
        <v>54</v>
      </c>
      <c r="E40" s="9" t="s">
        <v>55</v>
      </c>
      <c r="F40" s="25"/>
      <c r="G40" s="26"/>
    </row>
    <row r="41" spans="2:7" x14ac:dyDescent="0.35">
      <c r="B41" s="24" t="str">
        <f>_xlfn.CONCAT(D40," ",E40)</f>
        <v>Ram yadav</v>
      </c>
      <c r="C41" s="24"/>
      <c r="D41" s="24"/>
      <c r="E41" s="24"/>
      <c r="F41" s="24"/>
      <c r="G41" s="24"/>
    </row>
    <row r="42" spans="2:7" x14ac:dyDescent="0.35">
      <c r="B42" s="24" t="s">
        <v>56</v>
      </c>
      <c r="C42" s="24"/>
      <c r="D42" s="24"/>
      <c r="E42" s="24"/>
      <c r="F42" s="24"/>
      <c r="G42" s="24"/>
    </row>
  </sheetData>
  <mergeCells count="35">
    <mergeCell ref="B19:G19"/>
    <mergeCell ref="B15:G15"/>
    <mergeCell ref="B2:I3"/>
    <mergeCell ref="B5:J7"/>
    <mergeCell ref="B9:F9"/>
    <mergeCell ref="B10:F10"/>
    <mergeCell ref="B12:F12"/>
    <mergeCell ref="B13:F13"/>
    <mergeCell ref="B14:F14"/>
    <mergeCell ref="B16:G16"/>
    <mergeCell ref="B18:G18"/>
    <mergeCell ref="B17:G17"/>
    <mergeCell ref="B20:G20"/>
    <mergeCell ref="B21:G21"/>
    <mergeCell ref="B23:G23"/>
    <mergeCell ref="B24:G24"/>
    <mergeCell ref="B25:G25"/>
    <mergeCell ref="B22:G22"/>
    <mergeCell ref="B42:G42"/>
    <mergeCell ref="F40:G40"/>
    <mergeCell ref="B26:G26"/>
    <mergeCell ref="B27:G27"/>
    <mergeCell ref="B28:G28"/>
    <mergeCell ref="B35:G35"/>
    <mergeCell ref="B34:G34"/>
    <mergeCell ref="B33:G33"/>
    <mergeCell ref="B32:G32"/>
    <mergeCell ref="B30:G30"/>
    <mergeCell ref="B31:G31"/>
    <mergeCell ref="B29:G29"/>
    <mergeCell ref="B36:G36"/>
    <mergeCell ref="B37:G37"/>
    <mergeCell ref="B38:G38"/>
    <mergeCell ref="B39:G39"/>
    <mergeCell ref="B41:G4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936CFB-CA83-4FE1-BC35-770156166A3A}">
  <dimension ref="B3:I13"/>
  <sheetViews>
    <sheetView workbookViewId="0">
      <selection activeCell="D19" sqref="D19"/>
    </sheetView>
  </sheetViews>
  <sheetFormatPr defaultRowHeight="14.5" x14ac:dyDescent="0.35"/>
  <sheetData>
    <row r="3" spans="2:9" x14ac:dyDescent="0.35">
      <c r="B3" s="21" t="s">
        <v>52</v>
      </c>
      <c r="C3" s="21"/>
      <c r="D3" s="21"/>
      <c r="E3" s="21"/>
      <c r="F3" s="21"/>
      <c r="G3" s="21"/>
      <c r="H3" s="21"/>
    </row>
    <row r="5" spans="2:9" ht="14.5" customHeight="1" x14ac:dyDescent="0.35">
      <c r="B5" s="37" t="s">
        <v>58</v>
      </c>
      <c r="C5" s="37"/>
      <c r="D5" s="37"/>
      <c r="E5" s="37"/>
      <c r="F5" s="37"/>
      <c r="G5" s="37"/>
      <c r="H5" s="37"/>
      <c r="I5" s="37"/>
    </row>
    <row r="6" spans="2:9" x14ac:dyDescent="0.35">
      <c r="B6" s="35"/>
      <c r="C6" s="35"/>
      <c r="D6" s="35"/>
      <c r="E6" s="35"/>
      <c r="F6" s="35"/>
      <c r="G6" s="35"/>
      <c r="H6" s="35"/>
      <c r="I6" s="35"/>
    </row>
    <row r="7" spans="2:9" x14ac:dyDescent="0.35">
      <c r="B7" s="35"/>
      <c r="C7" s="35"/>
      <c r="D7" s="35"/>
      <c r="E7" s="35"/>
      <c r="F7" s="35"/>
      <c r="G7" s="35"/>
      <c r="H7" s="35"/>
      <c r="I7" s="35"/>
    </row>
    <row r="8" spans="2:9" x14ac:dyDescent="0.35">
      <c r="B8" s="35"/>
      <c r="C8" s="35"/>
      <c r="D8" s="35"/>
      <c r="E8" s="35"/>
      <c r="F8" s="35"/>
      <c r="G8" s="35"/>
      <c r="H8" s="35"/>
      <c r="I8" s="35"/>
    </row>
    <row r="9" spans="2:9" x14ac:dyDescent="0.35">
      <c r="B9" s="35"/>
      <c r="C9" s="35"/>
      <c r="D9" s="35"/>
      <c r="E9" s="35"/>
      <c r="F9" s="35"/>
      <c r="G9" s="35"/>
      <c r="H9" s="35"/>
      <c r="I9" s="35"/>
    </row>
    <row r="10" spans="2:9" x14ac:dyDescent="0.35">
      <c r="B10" s="35"/>
      <c r="C10" s="35"/>
      <c r="D10" s="35"/>
      <c r="E10" s="35"/>
      <c r="F10" s="35"/>
      <c r="G10" s="35"/>
      <c r="H10" s="35"/>
      <c r="I10" s="35"/>
    </row>
    <row r="11" spans="2:9" x14ac:dyDescent="0.35">
      <c r="B11" s="35"/>
      <c r="C11" s="35"/>
      <c r="D11" s="35"/>
      <c r="E11" s="35"/>
      <c r="F11" s="35"/>
      <c r="G11" s="35"/>
      <c r="H11" s="35"/>
      <c r="I11" s="35"/>
    </row>
    <row r="12" spans="2:9" x14ac:dyDescent="0.35">
      <c r="B12" s="35"/>
      <c r="C12" s="35"/>
      <c r="D12" s="35"/>
      <c r="E12" s="35"/>
      <c r="F12" s="35"/>
      <c r="G12" s="35"/>
      <c r="H12" s="35"/>
      <c r="I12" s="35"/>
    </row>
    <row r="13" spans="2:9" x14ac:dyDescent="0.35">
      <c r="G13" s="3"/>
    </row>
  </sheetData>
  <mergeCells count="2">
    <mergeCell ref="B3:H3"/>
    <mergeCell ref="B5:I1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EAABB-96F5-4521-B9CD-F0DB3DC7467D}">
  <dimension ref="B3:K40"/>
  <sheetViews>
    <sheetView workbookViewId="0">
      <pane ySplit="8" topLeftCell="A9" activePane="bottomLeft" state="frozen"/>
      <selection pane="bottomLeft" activeCell="P15" sqref="P15"/>
    </sheetView>
  </sheetViews>
  <sheetFormatPr defaultRowHeight="14.5" x14ac:dyDescent="0.35"/>
  <cols>
    <col min="2" max="2" width="14.1796875" bestFit="1" customWidth="1"/>
    <col min="3" max="3" width="12.36328125" bestFit="1" customWidth="1"/>
    <col min="4" max="4" width="10.90625" bestFit="1" customWidth="1"/>
    <col min="6" max="6" width="11" bestFit="1" customWidth="1"/>
  </cols>
  <sheetData>
    <row r="3" spans="2:11" ht="14.5" customHeight="1" x14ac:dyDescent="0.35">
      <c r="B3" s="8"/>
      <c r="C3" s="8"/>
      <c r="D3" s="8"/>
      <c r="E3" s="8"/>
      <c r="F3" s="8"/>
      <c r="G3" s="8"/>
      <c r="H3" s="8"/>
      <c r="I3" s="8"/>
      <c r="J3" s="8"/>
    </row>
    <row r="4" spans="2:11" x14ac:dyDescent="0.35">
      <c r="B4" s="21" t="s">
        <v>59</v>
      </c>
      <c r="C4" s="21"/>
      <c r="D4" s="21"/>
      <c r="E4" s="21"/>
      <c r="F4" s="21"/>
      <c r="G4" s="21"/>
      <c r="H4" s="21"/>
      <c r="I4" s="21"/>
      <c r="J4" s="21"/>
    </row>
    <row r="5" spans="2:11" ht="14.5" customHeight="1" x14ac:dyDescent="0.35">
      <c r="B5" s="35" t="s">
        <v>60</v>
      </c>
      <c r="C5" s="35"/>
      <c r="D5" s="35"/>
      <c r="E5" s="35"/>
      <c r="F5" s="35"/>
      <c r="G5" s="35"/>
      <c r="H5" s="35"/>
      <c r="I5" s="35"/>
      <c r="J5" s="35"/>
      <c r="K5" s="35"/>
    </row>
    <row r="6" spans="2:11" x14ac:dyDescent="0.35">
      <c r="B6" s="39" t="s">
        <v>61</v>
      </c>
      <c r="C6" s="39"/>
      <c r="D6" s="39"/>
      <c r="E6" s="39"/>
      <c r="F6" s="39"/>
      <c r="G6" s="39"/>
      <c r="H6" s="39"/>
      <c r="I6" s="39"/>
      <c r="J6" s="39"/>
      <c r="K6" s="39"/>
    </row>
    <row r="7" spans="2:11" x14ac:dyDescent="0.35">
      <c r="B7" s="39" t="s">
        <v>62</v>
      </c>
      <c r="C7" s="39"/>
      <c r="D7" s="39"/>
      <c r="E7" s="39"/>
      <c r="F7" s="39"/>
      <c r="G7" s="39"/>
      <c r="H7" s="39"/>
      <c r="I7" s="39"/>
      <c r="J7" s="39"/>
      <c r="K7" s="39"/>
    </row>
    <row r="8" spans="2:11" x14ac:dyDescent="0.35">
      <c r="B8" s="20" t="s">
        <v>63</v>
      </c>
      <c r="C8" s="20"/>
      <c r="D8" s="20"/>
      <c r="E8" s="20"/>
      <c r="F8" s="20"/>
      <c r="G8" s="20"/>
      <c r="H8" s="20"/>
      <c r="I8" s="20"/>
      <c r="J8" s="20"/>
      <c r="K8" s="20"/>
    </row>
    <row r="10" spans="2:11" x14ac:dyDescent="0.35">
      <c r="B10" s="40" t="s">
        <v>88</v>
      </c>
      <c r="C10" s="40"/>
      <c r="D10" s="40"/>
      <c r="E10" s="40"/>
      <c r="F10" s="40"/>
      <c r="G10" s="40"/>
      <c r="H10" s="40"/>
      <c r="I10" s="40"/>
      <c r="J10" s="40"/>
      <c r="K10" s="40"/>
    </row>
    <row r="12" spans="2:11" x14ac:dyDescent="0.35">
      <c r="B12" s="10" t="s">
        <v>64</v>
      </c>
      <c r="C12" s="10" t="s">
        <v>73</v>
      </c>
      <c r="D12" s="10" t="s">
        <v>74</v>
      </c>
      <c r="E12" s="10" t="s">
        <v>75</v>
      </c>
      <c r="F12" s="10" t="s">
        <v>76</v>
      </c>
    </row>
    <row r="13" spans="2:11" x14ac:dyDescent="0.35">
      <c r="B13" s="11" t="s">
        <v>65</v>
      </c>
      <c r="C13" s="11" t="s">
        <v>77</v>
      </c>
      <c r="D13" s="11" t="s">
        <v>85</v>
      </c>
      <c r="E13" s="11"/>
      <c r="F13" s="11">
        <v>81</v>
      </c>
    </row>
    <row r="14" spans="2:11" x14ac:dyDescent="0.35">
      <c r="B14" s="11" t="s">
        <v>66</v>
      </c>
      <c r="C14" s="11" t="s">
        <v>78</v>
      </c>
      <c r="D14" s="11" t="s">
        <v>85</v>
      </c>
      <c r="E14" s="11"/>
      <c r="F14" s="11">
        <v>121</v>
      </c>
    </row>
    <row r="15" spans="2:11" x14ac:dyDescent="0.35">
      <c r="B15" s="11" t="s">
        <v>67</v>
      </c>
      <c r="C15" s="11" t="s">
        <v>79</v>
      </c>
      <c r="D15" s="11" t="s">
        <v>86</v>
      </c>
      <c r="E15" s="11"/>
      <c r="F15" s="11">
        <v>239</v>
      </c>
    </row>
    <row r="16" spans="2:11" x14ac:dyDescent="0.35">
      <c r="B16" s="11" t="s">
        <v>68</v>
      </c>
      <c r="C16" s="11" t="s">
        <v>77</v>
      </c>
      <c r="D16" s="11" t="s">
        <v>85</v>
      </c>
      <c r="E16" s="11"/>
      <c r="F16" s="11">
        <v>500</v>
      </c>
    </row>
    <row r="17" spans="2:6" x14ac:dyDescent="0.35">
      <c r="B17" s="11" t="s">
        <v>69</v>
      </c>
      <c r="C17" s="11" t="s">
        <v>80</v>
      </c>
      <c r="D17" s="11" t="s">
        <v>87</v>
      </c>
      <c r="E17" s="11"/>
      <c r="F17" s="11">
        <v>423</v>
      </c>
    </row>
    <row r="18" spans="2:6" x14ac:dyDescent="0.35">
      <c r="B18" s="11" t="s">
        <v>70</v>
      </c>
      <c r="C18" s="11" t="s">
        <v>81</v>
      </c>
      <c r="D18" s="11" t="s">
        <v>85</v>
      </c>
      <c r="E18" s="11"/>
      <c r="F18" s="11">
        <v>160</v>
      </c>
    </row>
    <row r="19" spans="2:6" x14ac:dyDescent="0.35">
      <c r="B19" s="11" t="s">
        <v>71</v>
      </c>
      <c r="C19" s="11" t="s">
        <v>82</v>
      </c>
      <c r="D19" s="11" t="s">
        <v>85</v>
      </c>
      <c r="E19" s="11"/>
      <c r="F19" s="11">
        <v>348</v>
      </c>
    </row>
    <row r="20" spans="2:6" x14ac:dyDescent="0.35">
      <c r="B20" s="11" t="s">
        <v>72</v>
      </c>
      <c r="C20" s="11" t="s">
        <v>82</v>
      </c>
      <c r="D20" s="11" t="s">
        <v>85</v>
      </c>
      <c r="E20" s="11"/>
      <c r="F20" s="11">
        <v>152</v>
      </c>
    </row>
    <row r="21" spans="2:6" x14ac:dyDescent="0.35">
      <c r="B21" s="12" t="s">
        <v>83</v>
      </c>
      <c r="C21" s="11" t="s">
        <v>84</v>
      </c>
      <c r="D21" s="11" t="s">
        <v>87</v>
      </c>
      <c r="E21" s="11"/>
      <c r="F21" s="11">
        <v>369</v>
      </c>
    </row>
    <row r="23" spans="2:6" x14ac:dyDescent="0.35">
      <c r="B23" s="13" t="s">
        <v>94</v>
      </c>
      <c r="C23" s="4"/>
      <c r="D23" s="4"/>
      <c r="E23" s="4"/>
      <c r="F23" s="4"/>
    </row>
    <row r="24" spans="2:6" x14ac:dyDescent="0.35">
      <c r="B24" s="15"/>
      <c r="C24" s="15"/>
      <c r="D24" s="4"/>
      <c r="E24" s="4"/>
      <c r="F24" s="4"/>
    </row>
    <row r="25" spans="2:6" x14ac:dyDescent="0.35">
      <c r="B25" s="5" t="s">
        <v>95</v>
      </c>
      <c r="C25" s="5"/>
      <c r="D25" s="4"/>
      <c r="E25" s="4"/>
      <c r="F25" s="4"/>
    </row>
    <row r="26" spans="2:6" x14ac:dyDescent="0.35">
      <c r="B26" s="14" t="s">
        <v>96</v>
      </c>
      <c r="C26" s="14"/>
      <c r="D26" s="4"/>
      <c r="E26" s="4"/>
      <c r="F26" s="4"/>
    </row>
    <row r="27" spans="2:6" x14ac:dyDescent="0.35">
      <c r="B27" s="14" t="s">
        <v>98</v>
      </c>
      <c r="C27" s="14"/>
      <c r="D27" s="4"/>
      <c r="E27" s="4"/>
      <c r="F27" s="4"/>
    </row>
    <row r="28" spans="2:6" x14ac:dyDescent="0.35">
      <c r="B28" s="5" t="s">
        <v>97</v>
      </c>
      <c r="C28" s="5"/>
      <c r="D28" s="4"/>
      <c r="E28" s="4"/>
      <c r="F28" s="4"/>
    </row>
    <row r="29" spans="2:6" x14ac:dyDescent="0.35">
      <c r="B29" s="4"/>
      <c r="C29" s="4"/>
      <c r="D29" s="4"/>
      <c r="E29" s="4"/>
      <c r="F29" s="4"/>
    </row>
    <row r="30" spans="2:6" x14ac:dyDescent="0.35">
      <c r="B30" s="38" t="s">
        <v>89</v>
      </c>
      <c r="C30" s="38"/>
      <c r="D30" s="38"/>
      <c r="E30" s="38"/>
      <c r="F30" s="38"/>
    </row>
    <row r="31" spans="2:6" x14ac:dyDescent="0.35">
      <c r="B31" s="4"/>
      <c r="C31" s="4"/>
      <c r="D31" s="4"/>
      <c r="E31" s="4"/>
      <c r="F31" s="4"/>
    </row>
    <row r="32" spans="2:6" x14ac:dyDescent="0.35">
      <c r="B32" s="38" t="s">
        <v>90</v>
      </c>
      <c r="C32" s="38"/>
      <c r="D32" s="38"/>
      <c r="E32" s="38"/>
      <c r="F32" s="38"/>
    </row>
    <row r="33" spans="2:6" x14ac:dyDescent="0.35">
      <c r="B33" s="15"/>
      <c r="C33" s="15"/>
      <c r="D33" s="15"/>
      <c r="E33" s="15"/>
      <c r="F33" s="15"/>
    </row>
    <row r="34" spans="2:6" x14ac:dyDescent="0.35">
      <c r="B34" s="39" t="s">
        <v>91</v>
      </c>
      <c r="C34" s="39"/>
      <c r="D34" s="39"/>
      <c r="E34" s="39"/>
      <c r="F34" s="39"/>
    </row>
    <row r="35" spans="2:6" x14ac:dyDescent="0.35">
      <c r="B35" s="4"/>
      <c r="C35" s="4"/>
      <c r="D35" s="4"/>
      <c r="E35" s="4"/>
      <c r="F35" s="4"/>
    </row>
    <row r="36" spans="2:6" x14ac:dyDescent="0.35">
      <c r="B36" s="38" t="s">
        <v>92</v>
      </c>
      <c r="C36" s="38"/>
      <c r="D36" s="38"/>
      <c r="E36" s="38"/>
      <c r="F36" s="38"/>
    </row>
    <row r="37" spans="2:6" x14ac:dyDescent="0.35">
      <c r="B37" s="4"/>
      <c r="C37" s="4"/>
      <c r="D37" s="4"/>
      <c r="E37" s="4"/>
      <c r="F37" s="4"/>
    </row>
    <row r="38" spans="2:6" x14ac:dyDescent="0.35">
      <c r="B38" s="38" t="s">
        <v>90</v>
      </c>
      <c r="C38" s="38"/>
      <c r="D38" s="38"/>
      <c r="E38" s="38"/>
      <c r="F38" s="38"/>
    </row>
    <row r="39" spans="2:6" x14ac:dyDescent="0.35">
      <c r="B39" s="4"/>
      <c r="C39" s="4"/>
      <c r="D39" s="4"/>
      <c r="E39" s="4"/>
      <c r="F39" s="4"/>
    </row>
    <row r="40" spans="2:6" x14ac:dyDescent="0.35">
      <c r="B40" s="39" t="s">
        <v>93</v>
      </c>
      <c r="C40" s="39"/>
      <c r="D40" s="39"/>
      <c r="E40" s="39"/>
      <c r="F40" s="39"/>
    </row>
  </sheetData>
  <mergeCells count="16">
    <mergeCell ref="B6:K6"/>
    <mergeCell ref="B8:K8"/>
    <mergeCell ref="B10:K10"/>
    <mergeCell ref="B4:J4"/>
    <mergeCell ref="B5:K5"/>
    <mergeCell ref="B24:C24"/>
    <mergeCell ref="B26:C26"/>
    <mergeCell ref="B27:C27"/>
    <mergeCell ref="B34:F34"/>
    <mergeCell ref="B7:K7"/>
    <mergeCell ref="B36:F36"/>
    <mergeCell ref="B38:F38"/>
    <mergeCell ref="B33:F33"/>
    <mergeCell ref="B40:F40"/>
    <mergeCell ref="B30:F30"/>
    <mergeCell ref="B32:F32"/>
  </mergeCells>
  <dataValidations count="2">
    <dataValidation type="whole" allowBlank="1" showInputMessage="1" showErrorMessage="1" promptTitle="&quot;Invalid input" prompt="_x000a_&quot;The quantity must be whole number between 1 to 10.&quot;" sqref="M7" xr:uid="{873A9439-EFB8-4DD5-8449-0427C53D61BD}">
      <formula1>1</formula1>
      <formula2>10</formula2>
    </dataValidation>
    <dataValidation type="whole" allowBlank="1" showInputMessage="1" showErrorMessage="1" errorTitle="Invalid input!" error="The qunantity musst be whole number between 1 and 10_x000a_" prompt=" please enter a whole number between 1 and 10_x000a_" sqref="E13:E21" xr:uid="{55F2CC96-185D-49F5-BD23-1FF586B5F660}">
      <formula1>1</formula1>
      <formula2>10</formula2>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E2E8B-6E9F-444F-87C1-4F9B4ACC2F8F}">
  <dimension ref="A3:J30"/>
  <sheetViews>
    <sheetView workbookViewId="0">
      <pane ySplit="8" topLeftCell="A26" activePane="bottomLeft" state="frozen"/>
      <selection pane="bottomLeft" activeCell="B36" sqref="B36"/>
    </sheetView>
  </sheetViews>
  <sheetFormatPr defaultRowHeight="14.5" x14ac:dyDescent="0.35"/>
  <sheetData>
    <row r="3" spans="1:10" x14ac:dyDescent="0.35">
      <c r="B3" s="21" t="s">
        <v>99</v>
      </c>
      <c r="C3" s="21"/>
      <c r="D3" s="21"/>
      <c r="E3" s="21"/>
      <c r="F3" s="21"/>
      <c r="G3" s="21"/>
      <c r="H3" s="21"/>
      <c r="I3" s="21"/>
      <c r="J3" s="21"/>
    </row>
    <row r="4" spans="1:10" x14ac:dyDescent="0.35">
      <c r="B4" s="20" t="s">
        <v>100</v>
      </c>
      <c r="C4" s="20"/>
      <c r="D4" s="20"/>
      <c r="E4" s="20"/>
      <c r="F4" s="20"/>
      <c r="G4" s="20"/>
      <c r="H4" s="20"/>
      <c r="I4" s="20"/>
      <c r="J4" s="20"/>
    </row>
    <row r="5" spans="1:10" x14ac:dyDescent="0.35">
      <c r="B5" s="20" t="s">
        <v>101</v>
      </c>
      <c r="C5" s="20"/>
      <c r="D5" s="20"/>
      <c r="E5" s="20"/>
      <c r="F5" s="20"/>
      <c r="G5" s="20"/>
      <c r="H5" s="20"/>
      <c r="I5" s="20"/>
      <c r="J5" s="20"/>
    </row>
    <row r="6" spans="1:10" x14ac:dyDescent="0.35">
      <c r="B6" s="20" t="s">
        <v>102</v>
      </c>
      <c r="C6" s="20"/>
      <c r="D6" s="20"/>
      <c r="E6" s="20"/>
      <c r="F6" s="20"/>
      <c r="G6" s="20"/>
      <c r="H6" s="20"/>
      <c r="I6" s="20"/>
      <c r="J6" s="20"/>
    </row>
    <row r="7" spans="1:10" x14ac:dyDescent="0.35">
      <c r="B7" s="20" t="s">
        <v>103</v>
      </c>
      <c r="C7" s="20"/>
      <c r="D7" s="20"/>
      <c r="E7" s="20"/>
      <c r="F7" s="20"/>
      <c r="G7" s="20"/>
      <c r="H7" s="20"/>
      <c r="I7" s="20"/>
      <c r="J7" s="20"/>
    </row>
    <row r="8" spans="1:10" x14ac:dyDescent="0.35">
      <c r="B8" s="20" t="s">
        <v>104</v>
      </c>
      <c r="C8" s="20"/>
      <c r="D8" s="20"/>
      <c r="E8" s="20"/>
      <c r="F8" s="20"/>
      <c r="G8" s="20"/>
      <c r="H8" s="20"/>
      <c r="I8" s="20"/>
      <c r="J8" s="20"/>
    </row>
    <row r="11" spans="1:10" x14ac:dyDescent="0.35">
      <c r="B11" s="42" t="s">
        <v>100</v>
      </c>
      <c r="C11" s="42"/>
      <c r="D11" s="42"/>
      <c r="E11" s="42"/>
      <c r="F11" s="42"/>
      <c r="G11" s="42"/>
      <c r="H11" s="42"/>
      <c r="I11" s="42"/>
      <c r="J11" s="42"/>
    </row>
    <row r="13" spans="1:10" x14ac:dyDescent="0.35">
      <c r="A13" s="42" t="s">
        <v>105</v>
      </c>
      <c r="B13" t="str">
        <f>LEFT("ExcelTipsAreGreat",5)</f>
        <v>Excel</v>
      </c>
    </row>
    <row r="16" spans="1:10" x14ac:dyDescent="0.35">
      <c r="B16" s="21" t="s">
        <v>101</v>
      </c>
      <c r="C16" s="21"/>
      <c r="D16" s="21"/>
      <c r="E16" s="21"/>
      <c r="F16" s="21"/>
      <c r="G16" s="21"/>
      <c r="H16" s="21"/>
      <c r="I16" s="21"/>
      <c r="J16" s="21"/>
    </row>
    <row r="18" spans="1:10" x14ac:dyDescent="0.35">
      <c r="A18" s="42" t="s">
        <v>105</v>
      </c>
      <c r="B18" t="str">
        <f>RIGHT("DataAnalysis.xlsx",4)</f>
        <v>xlsx</v>
      </c>
    </row>
    <row r="20" spans="1:10" x14ac:dyDescent="0.35">
      <c r="B20" s="21" t="s">
        <v>102</v>
      </c>
      <c r="C20" s="21"/>
      <c r="D20" s="21"/>
      <c r="E20" s="21"/>
      <c r="F20" s="21"/>
      <c r="G20" s="21"/>
      <c r="H20" s="21"/>
      <c r="I20" s="21"/>
      <c r="J20" s="21"/>
    </row>
    <row r="22" spans="1:10" x14ac:dyDescent="0.35">
      <c r="A22" s="42" t="s">
        <v>105</v>
      </c>
      <c r="B22" t="str">
        <f>MID("ExcelTipsAreGreat",6,4)</f>
        <v>Tips</v>
      </c>
    </row>
    <row r="24" spans="1:10" x14ac:dyDescent="0.35">
      <c r="B24" s="21" t="s">
        <v>103</v>
      </c>
      <c r="C24" s="21"/>
      <c r="D24" s="21"/>
      <c r="E24" s="21"/>
      <c r="F24" s="21"/>
      <c r="G24" s="21"/>
      <c r="H24" s="21"/>
      <c r="I24" s="21"/>
      <c r="J24" s="21"/>
    </row>
    <row r="26" spans="1:10" x14ac:dyDescent="0.35">
      <c r="A26" s="42" t="s">
        <v>105</v>
      </c>
      <c r="B26">
        <f>LEN("hello world!")</f>
        <v>12</v>
      </c>
    </row>
    <row r="28" spans="1:10" x14ac:dyDescent="0.35">
      <c r="B28" s="21" t="s">
        <v>104</v>
      </c>
      <c r="C28" s="21"/>
      <c r="D28" s="21"/>
      <c r="E28" s="21"/>
      <c r="F28" s="21"/>
      <c r="G28" s="21"/>
      <c r="H28" s="21"/>
      <c r="I28" s="21"/>
      <c r="J28" s="21"/>
    </row>
    <row r="30" spans="1:10" x14ac:dyDescent="0.35">
      <c r="A30" s="42" t="s">
        <v>105</v>
      </c>
      <c r="B30" t="str">
        <f>MID("12345-67890-ABCDE",7,6)</f>
        <v>67890-</v>
      </c>
    </row>
  </sheetData>
  <mergeCells count="10">
    <mergeCell ref="B16:J16"/>
    <mergeCell ref="B20:J20"/>
    <mergeCell ref="B24:J24"/>
    <mergeCell ref="B28:J28"/>
    <mergeCell ref="B4:J4"/>
    <mergeCell ref="B5:J5"/>
    <mergeCell ref="B6:J6"/>
    <mergeCell ref="B7:J7"/>
    <mergeCell ref="B8:J8"/>
    <mergeCell ref="B3:J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0BAB65-F7A0-4CD0-B0C5-22623B5C8062}">
  <dimension ref="A3:O33"/>
  <sheetViews>
    <sheetView workbookViewId="0">
      <pane ySplit="8" topLeftCell="A24" activePane="bottomLeft" state="frozen"/>
      <selection pane="bottomLeft" activeCell="F36" sqref="F36"/>
    </sheetView>
  </sheetViews>
  <sheetFormatPr defaultRowHeight="14.5" x14ac:dyDescent="0.35"/>
  <sheetData>
    <row r="3" spans="1:12" x14ac:dyDescent="0.35">
      <c r="B3" s="21" t="s">
        <v>106</v>
      </c>
      <c r="C3" s="21"/>
      <c r="D3" s="21"/>
      <c r="E3" s="21"/>
      <c r="F3" s="21"/>
      <c r="G3" s="21"/>
      <c r="H3" s="21"/>
      <c r="I3" s="21"/>
      <c r="J3" s="21"/>
    </row>
    <row r="4" spans="1:12" x14ac:dyDescent="0.35">
      <c r="B4" s="20" t="s">
        <v>108</v>
      </c>
      <c r="C4" s="20"/>
      <c r="D4" s="20"/>
      <c r="E4" s="20"/>
      <c r="F4" s="20"/>
      <c r="G4" s="20"/>
      <c r="H4" s="20"/>
      <c r="I4" s="20"/>
      <c r="J4" s="20"/>
      <c r="K4" s="20"/>
      <c r="L4" s="20"/>
    </row>
    <row r="5" spans="1:12" x14ac:dyDescent="0.35">
      <c r="B5" s="20" t="s">
        <v>109</v>
      </c>
      <c r="C5" s="20"/>
      <c r="D5" s="20"/>
      <c r="E5" s="20"/>
      <c r="F5" s="20"/>
      <c r="G5" s="20"/>
      <c r="H5" s="20"/>
      <c r="I5" s="20"/>
      <c r="J5" s="20"/>
      <c r="K5" s="20"/>
      <c r="L5" s="20"/>
    </row>
    <row r="6" spans="1:12" x14ac:dyDescent="0.35">
      <c r="B6" s="20" t="s">
        <v>110</v>
      </c>
      <c r="C6" s="20"/>
      <c r="D6" s="20"/>
      <c r="E6" s="20"/>
      <c r="F6" s="20"/>
      <c r="G6" s="20"/>
      <c r="H6" s="20"/>
      <c r="I6" s="20"/>
      <c r="J6" s="20"/>
      <c r="K6" s="20"/>
      <c r="L6" s="20"/>
    </row>
    <row r="7" spans="1:12" x14ac:dyDescent="0.35">
      <c r="B7" s="20" t="s">
        <v>111</v>
      </c>
      <c r="C7" s="20"/>
      <c r="D7" s="20"/>
      <c r="E7" s="20"/>
      <c r="F7" s="20"/>
      <c r="G7" s="20"/>
      <c r="H7" s="20"/>
      <c r="I7" s="20"/>
      <c r="J7" s="20"/>
      <c r="K7" s="20"/>
      <c r="L7" s="20"/>
    </row>
    <row r="8" spans="1:12" x14ac:dyDescent="0.35">
      <c r="B8" s="20" t="s">
        <v>107</v>
      </c>
      <c r="C8" s="20"/>
      <c r="D8" s="20"/>
      <c r="E8" s="20"/>
      <c r="F8" s="20"/>
      <c r="G8" s="20"/>
      <c r="H8" s="20"/>
      <c r="I8" s="20"/>
      <c r="J8" s="20"/>
      <c r="K8" s="20"/>
      <c r="L8" s="20"/>
    </row>
    <row r="10" spans="1:12" x14ac:dyDescent="0.35">
      <c r="B10" s="21" t="s">
        <v>108</v>
      </c>
      <c r="C10" s="21"/>
      <c r="D10" s="21"/>
      <c r="E10" s="21"/>
      <c r="F10" s="21"/>
      <c r="G10" s="21"/>
      <c r="H10" s="21"/>
      <c r="I10" s="21"/>
      <c r="J10" s="21"/>
      <c r="K10" s="21"/>
      <c r="L10" s="21"/>
    </row>
    <row r="12" spans="1:12" x14ac:dyDescent="0.35">
      <c r="A12" s="42" t="s">
        <v>105</v>
      </c>
      <c r="B12" t="str">
        <f>_xlfn.CONCAT("Hello"," ","world")</f>
        <v>Hello world</v>
      </c>
    </row>
    <row r="14" spans="1:12" x14ac:dyDescent="0.35">
      <c r="B14" s="21" t="s">
        <v>109</v>
      </c>
      <c r="C14" s="21"/>
      <c r="D14" s="21"/>
      <c r="E14" s="21"/>
      <c r="F14" s="21"/>
      <c r="G14" s="21"/>
      <c r="H14" s="21"/>
      <c r="I14" s="21"/>
      <c r="J14" s="21"/>
      <c r="K14" s="21"/>
      <c r="L14" s="21"/>
    </row>
    <row r="16" spans="1:12" x14ac:dyDescent="0.35">
      <c r="A16" s="42" t="s">
        <v>105</v>
      </c>
      <c r="B16" t="str">
        <f>_xlfn.TEXTJOIN(",",TRUE,"Apple", "Banana", "cherry",)</f>
        <v>Apple,Banana,cherry</v>
      </c>
    </row>
    <row r="18" spans="1:15" x14ac:dyDescent="0.35">
      <c r="B18" s="21" t="s">
        <v>110</v>
      </c>
      <c r="C18" s="21"/>
      <c r="D18" s="21"/>
      <c r="E18" s="21"/>
      <c r="F18" s="21"/>
      <c r="G18" s="21"/>
      <c r="H18" s="21"/>
      <c r="I18" s="21"/>
      <c r="J18" s="21"/>
      <c r="K18" s="21"/>
      <c r="L18" s="21"/>
    </row>
    <row r="20" spans="1:15" x14ac:dyDescent="0.35">
      <c r="A20" s="42" t="s">
        <v>105</v>
      </c>
      <c r="B20" t="str">
        <f>"2025"&amp;" : "&amp;"Excel Functions"</f>
        <v>2025 : Excel Functions</v>
      </c>
    </row>
    <row r="22" spans="1:15" x14ac:dyDescent="0.35">
      <c r="B22" s="21" t="s">
        <v>116</v>
      </c>
      <c r="C22" s="21"/>
      <c r="D22" s="21"/>
      <c r="E22" s="21"/>
      <c r="F22" s="21"/>
      <c r="G22" s="21"/>
      <c r="H22" s="21"/>
      <c r="I22" s="21"/>
      <c r="J22" s="21"/>
      <c r="K22" s="21"/>
      <c r="L22" s="21"/>
    </row>
    <row r="23" spans="1:15" x14ac:dyDescent="0.35">
      <c r="J23" s="43" t="s">
        <v>54</v>
      </c>
    </row>
    <row r="24" spans="1:15" x14ac:dyDescent="0.35">
      <c r="A24" s="42" t="s">
        <v>105</v>
      </c>
      <c r="B24" t="str">
        <f>_xlfn.TEXTJOIN(",",TRUE,J23:J27)</f>
        <v>Ram,shiva,Arjun,Anchal,Kiran</v>
      </c>
      <c r="J24" s="43" t="s">
        <v>112</v>
      </c>
    </row>
    <row r="25" spans="1:15" x14ac:dyDescent="0.35">
      <c r="J25" s="43" t="s">
        <v>113</v>
      </c>
    </row>
    <row r="26" spans="1:15" x14ac:dyDescent="0.35">
      <c r="J26" s="43" t="s">
        <v>114</v>
      </c>
    </row>
    <row r="27" spans="1:15" x14ac:dyDescent="0.35">
      <c r="J27" s="43" t="s">
        <v>115</v>
      </c>
      <c r="O27" s="41"/>
    </row>
    <row r="30" spans="1:15" x14ac:dyDescent="0.35">
      <c r="B30" s="21" t="s">
        <v>107</v>
      </c>
      <c r="C30" s="21"/>
      <c r="D30" s="21"/>
      <c r="E30" s="21"/>
      <c r="F30" s="21"/>
      <c r="G30" s="21"/>
      <c r="H30" s="21"/>
      <c r="I30" s="21"/>
      <c r="J30" s="21"/>
      <c r="K30" s="21"/>
      <c r="L30" s="21"/>
    </row>
    <row r="31" spans="1:15" x14ac:dyDescent="0.35">
      <c r="B31" s="3"/>
      <c r="C31" s="3"/>
      <c r="D31" s="3"/>
      <c r="E31" s="3"/>
      <c r="F31" s="3"/>
      <c r="G31" s="3"/>
      <c r="H31" s="3"/>
      <c r="I31" s="3"/>
      <c r="J31" s="3"/>
      <c r="K31" s="3"/>
      <c r="L31" s="3"/>
    </row>
    <row r="32" spans="1:15" x14ac:dyDescent="0.35">
      <c r="B32" s="45" t="s">
        <v>119</v>
      </c>
      <c r="C32" s="45"/>
      <c r="H32" s="6" t="s">
        <v>117</v>
      </c>
      <c r="I32" s="6" t="s">
        <v>118</v>
      </c>
    </row>
    <row r="33" spans="1:9" x14ac:dyDescent="0.35">
      <c r="A33" s="42" t="s">
        <v>105</v>
      </c>
      <c r="B33" s="44" t="str">
        <f>H33 &amp;" "&amp; I33</f>
        <v>Ram Yadav</v>
      </c>
      <c r="C33" s="44"/>
      <c r="H33" s="6" t="s">
        <v>54</v>
      </c>
      <c r="I33" s="6" t="s">
        <v>120</v>
      </c>
    </row>
  </sheetData>
  <mergeCells count="13">
    <mergeCell ref="B33:C33"/>
    <mergeCell ref="B10:L10"/>
    <mergeCell ref="B14:L14"/>
    <mergeCell ref="B18:L18"/>
    <mergeCell ref="B22:L22"/>
    <mergeCell ref="B30:L30"/>
    <mergeCell ref="B32:C32"/>
    <mergeCell ref="B3:J3"/>
    <mergeCell ref="B6:L6"/>
    <mergeCell ref="B4:L4"/>
    <mergeCell ref="B5:L5"/>
    <mergeCell ref="B7:L7"/>
    <mergeCell ref="B8:L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32E8-242B-4017-9345-B8BC806F34E1}">
  <dimension ref="A3:M32"/>
  <sheetViews>
    <sheetView zoomScaleNormal="100" workbookViewId="0">
      <pane ySplit="8" topLeftCell="A9" activePane="bottomLeft" state="frozen"/>
      <selection pane="bottomLeft" activeCell="G32" sqref="G32"/>
    </sheetView>
  </sheetViews>
  <sheetFormatPr defaultRowHeight="14.5" x14ac:dyDescent="0.35"/>
  <cols>
    <col min="2" max="2" width="28" customWidth="1"/>
    <col min="4" max="5" width="10.08984375" bestFit="1" customWidth="1"/>
  </cols>
  <sheetData>
    <row r="3" spans="1:13" x14ac:dyDescent="0.35">
      <c r="B3" s="21" t="s">
        <v>121</v>
      </c>
      <c r="C3" s="21"/>
      <c r="D3" s="21"/>
      <c r="E3" s="21"/>
      <c r="F3" s="21"/>
    </row>
    <row r="4" spans="1:13" x14ac:dyDescent="0.35">
      <c r="B4" s="20" t="s">
        <v>122</v>
      </c>
      <c r="C4" s="20"/>
      <c r="D4" s="20"/>
      <c r="E4" s="20"/>
      <c r="F4" s="20"/>
      <c r="G4" s="20"/>
      <c r="H4" s="20"/>
      <c r="I4" s="20"/>
      <c r="J4" s="20"/>
      <c r="K4" s="20"/>
      <c r="L4" s="20"/>
      <c r="M4" s="20"/>
    </row>
    <row r="5" spans="1:13" x14ac:dyDescent="0.35">
      <c r="B5" s="20" t="s">
        <v>123</v>
      </c>
      <c r="C5" s="20"/>
      <c r="D5" s="20"/>
      <c r="E5" s="20"/>
      <c r="F5" s="20"/>
      <c r="G5" s="20"/>
      <c r="H5" s="20"/>
      <c r="I5" s="20"/>
      <c r="J5" s="20"/>
      <c r="K5" s="20"/>
      <c r="L5" s="20"/>
      <c r="M5" s="20"/>
    </row>
    <row r="6" spans="1:13" x14ac:dyDescent="0.35">
      <c r="B6" s="20" t="s">
        <v>124</v>
      </c>
      <c r="C6" s="20"/>
      <c r="D6" s="20"/>
      <c r="E6" s="20"/>
      <c r="F6" s="20"/>
      <c r="G6" s="20"/>
      <c r="H6" s="20"/>
      <c r="I6" s="20"/>
      <c r="J6" s="20"/>
      <c r="K6" s="20"/>
      <c r="L6" s="20"/>
      <c r="M6" s="20"/>
    </row>
    <row r="7" spans="1:13" x14ac:dyDescent="0.35">
      <c r="B7" s="20" t="s">
        <v>126</v>
      </c>
      <c r="C7" s="20"/>
      <c r="D7" s="20"/>
      <c r="E7" s="20"/>
      <c r="F7" s="20"/>
      <c r="G7" s="20"/>
      <c r="H7" s="20"/>
      <c r="I7" s="20"/>
      <c r="J7" s="20"/>
      <c r="K7" s="20"/>
      <c r="L7" s="20"/>
      <c r="M7" s="20"/>
    </row>
    <row r="8" spans="1:13" x14ac:dyDescent="0.35">
      <c r="B8" s="20" t="s">
        <v>125</v>
      </c>
      <c r="C8" s="20"/>
      <c r="D8" s="20"/>
      <c r="E8" s="20"/>
      <c r="F8" s="20"/>
      <c r="G8" s="20"/>
      <c r="H8" s="20"/>
      <c r="I8" s="20"/>
      <c r="J8" s="20"/>
      <c r="K8" s="20"/>
      <c r="L8" s="20"/>
      <c r="M8" s="20"/>
    </row>
    <row r="12" spans="1:13" x14ac:dyDescent="0.35">
      <c r="B12" s="21" t="s">
        <v>122</v>
      </c>
      <c r="C12" s="21"/>
      <c r="D12" s="21"/>
      <c r="E12" s="21"/>
      <c r="F12" s="21"/>
      <c r="G12" s="21"/>
      <c r="H12" s="21"/>
      <c r="I12" s="21"/>
      <c r="J12" s="21"/>
      <c r="K12" s="21"/>
      <c r="L12" s="21"/>
      <c r="M12" s="21"/>
    </row>
    <row r="14" spans="1:13" x14ac:dyDescent="0.35">
      <c r="A14" s="42" t="s">
        <v>105</v>
      </c>
      <c r="B14" s="46" t="s">
        <v>129</v>
      </c>
      <c r="C14" s="46"/>
      <c r="D14" s="46"/>
      <c r="E14" s="46"/>
    </row>
    <row r="15" spans="1:13" x14ac:dyDescent="0.35">
      <c r="B15" s="46" t="s">
        <v>127</v>
      </c>
      <c r="C15" s="46"/>
      <c r="D15" s="46"/>
      <c r="E15" s="46"/>
    </row>
    <row r="16" spans="1:13" x14ac:dyDescent="0.35">
      <c r="B16" s="46" t="s">
        <v>128</v>
      </c>
      <c r="C16" s="46"/>
      <c r="D16" s="46"/>
      <c r="E16" s="46"/>
    </row>
    <row r="18" spans="1:13" x14ac:dyDescent="0.35">
      <c r="B18" s="21" t="s">
        <v>123</v>
      </c>
      <c r="C18" s="21"/>
      <c r="D18" s="21"/>
      <c r="E18" s="21"/>
      <c r="F18" s="21"/>
      <c r="G18" s="21"/>
      <c r="H18" s="21"/>
      <c r="I18" s="21"/>
      <c r="J18" s="21"/>
      <c r="K18" s="21"/>
      <c r="L18" s="21"/>
      <c r="M18" s="21"/>
    </row>
    <row r="20" spans="1:13" x14ac:dyDescent="0.35">
      <c r="A20" s="42" t="s">
        <v>105</v>
      </c>
      <c r="B20" s="20" t="s">
        <v>130</v>
      </c>
      <c r="C20" s="20"/>
      <c r="D20" s="20"/>
    </row>
    <row r="21" spans="1:13" x14ac:dyDescent="0.35">
      <c r="B21" s="48" t="s">
        <v>131</v>
      </c>
      <c r="C21" s="47"/>
      <c r="D21" s="50">
        <v>45818</v>
      </c>
      <c r="E21" s="50">
        <f ca="1">TODAY()</f>
        <v>46037</v>
      </c>
    </row>
    <row r="22" spans="1:13" x14ac:dyDescent="0.35">
      <c r="B22" s="49">
        <f ca="1">DATEDIF(D21,E21,"d")</f>
        <v>219</v>
      </c>
    </row>
    <row r="24" spans="1:13" x14ac:dyDescent="0.35">
      <c r="B24" s="21" t="s">
        <v>124</v>
      </c>
      <c r="C24" s="21"/>
      <c r="D24" s="21"/>
      <c r="E24" s="21"/>
      <c r="F24" s="21"/>
      <c r="G24" s="21"/>
      <c r="H24" s="21"/>
      <c r="I24" s="21"/>
      <c r="J24" s="21"/>
      <c r="K24" s="21"/>
      <c r="L24" s="21"/>
      <c r="M24" s="21"/>
    </row>
    <row r="26" spans="1:13" x14ac:dyDescent="0.35">
      <c r="A26" s="42" t="s">
        <v>105</v>
      </c>
      <c r="B26" t="str">
        <f ca="1">TEXT(NOW(),"MM/DD/YYYY HH:MM AM/PM")</f>
        <v>01/15/2026 11:11 PM</v>
      </c>
    </row>
    <row r="28" spans="1:13" x14ac:dyDescent="0.35">
      <c r="B28" s="21" t="s">
        <v>125</v>
      </c>
      <c r="C28" s="21"/>
      <c r="D28" s="21"/>
      <c r="E28" s="21"/>
      <c r="F28" s="21"/>
      <c r="G28" s="21"/>
      <c r="H28" s="21"/>
      <c r="I28" s="21"/>
      <c r="J28" s="21"/>
      <c r="K28" s="21"/>
      <c r="L28" s="21"/>
      <c r="M28" s="21"/>
    </row>
    <row r="30" spans="1:13" x14ac:dyDescent="0.35">
      <c r="B30" s="42" t="s">
        <v>132</v>
      </c>
    </row>
    <row r="32" spans="1:13" x14ac:dyDescent="0.35">
      <c r="A32" s="42" t="s">
        <v>105</v>
      </c>
      <c r="B32" t="s">
        <v>133</v>
      </c>
    </row>
  </sheetData>
  <mergeCells count="14">
    <mergeCell ref="B20:D20"/>
    <mergeCell ref="B24:M24"/>
    <mergeCell ref="B28:M28"/>
    <mergeCell ref="B12:M12"/>
    <mergeCell ref="B15:E15"/>
    <mergeCell ref="B16:E16"/>
    <mergeCell ref="B14:E14"/>
    <mergeCell ref="B18:M18"/>
    <mergeCell ref="B3:F3"/>
    <mergeCell ref="B5:M5"/>
    <mergeCell ref="B6:M6"/>
    <mergeCell ref="B7:M7"/>
    <mergeCell ref="B8:M8"/>
    <mergeCell ref="B4:M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q1</vt:lpstr>
      <vt:lpstr>q2</vt:lpstr>
      <vt:lpstr>q3</vt:lpstr>
      <vt:lpstr>Q4</vt:lpstr>
      <vt:lpstr>q5</vt:lpstr>
      <vt:lpstr>Q6</vt:lpstr>
      <vt:lpstr>q7</vt:lpstr>
      <vt:lpstr>q8</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 Yadav</dc:creator>
  <cp:lastModifiedBy>Ram Yadav</cp:lastModifiedBy>
  <dcterms:created xsi:type="dcterms:W3CDTF">2026-01-14T09:11:58Z</dcterms:created>
  <dcterms:modified xsi:type="dcterms:W3CDTF">2026-01-15T17:41:33Z</dcterms:modified>
</cp:coreProperties>
</file>
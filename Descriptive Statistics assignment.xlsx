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F:\Disk E\ISC bhotik sagar\excel\PW Assisment files\"/>
    </mc:Choice>
  </mc:AlternateContent>
  <xr:revisionPtr revIDLastSave="0" documentId="8_{2E2EF871-7233-4A23-A8F4-4417BA5B022C}" xr6:coauthVersionLast="47" xr6:coauthVersionMax="47" xr10:uidLastSave="{00000000-0000-0000-0000-000000000000}"/>
  <bookViews>
    <workbookView xWindow="-110" yWindow="-110" windowWidth="19420" windowHeight="10300" activeTab="1" xr2:uid="{777D207D-6E5D-4B03-9088-CE6E40E3E8BC}"/>
  </bookViews>
  <sheets>
    <sheet name="Easy Level" sheetId="1" r:id="rId1"/>
    <sheet name="Medium Level" sheetId="2" r:id="rId2"/>
    <sheet name="Hard Level "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2" i="3" l="1"/>
  <c r="D87" i="3"/>
  <c r="D74" i="3"/>
  <c r="D62" i="3"/>
  <c r="G50" i="3"/>
  <c r="C52" i="3" s="1"/>
  <c r="D29" i="3"/>
  <c r="E26" i="3"/>
  <c r="D28" i="3" s="1"/>
  <c r="C54" i="2"/>
  <c r="C40" i="2"/>
  <c r="C52" i="1"/>
  <c r="F48" i="1"/>
  <c r="C25" i="1"/>
  <c r="F16" i="1"/>
</calcChain>
</file>

<file path=xl/sharedStrings.xml><?xml version="1.0" encoding="utf-8"?>
<sst xmlns="http://schemas.openxmlformats.org/spreadsheetml/2006/main" count="133" uniqueCount="95">
  <si>
    <t>Median = Middle value after arranging data</t>
  </si>
  <si>
    <t>Calculation:</t>
  </si>
  <si>
    <t>Explanation:</t>
  </si>
  <si>
    <t>Median and mode are better here because they show the most common sales value and are not affected by higher numbers like 15. So, 12 is the most realistic daily sale.</t>
  </si>
  <si>
    <t>Given Data:-</t>
  </si>
  <si>
    <t>sum</t>
  </si>
  <si>
    <t>* Mean = Total of all values ÷ Number of values</t>
  </si>
  <si>
    <t>* Median = Middle value after arranging data</t>
  </si>
  <si>
    <t>* Mode = Value that occurs most frequently</t>
  </si>
  <si>
    <t>No</t>
  </si>
  <si>
    <t>value</t>
  </si>
  <si>
    <t>Mean</t>
  </si>
  <si>
    <t>Median</t>
  </si>
  <si>
    <t>Mode</t>
  </si>
  <si>
    <t>Q1: Understanding Central Tendency (Easy) A bakery tracks the daily sales of muffins (in dozens) over a week: [10, 12, 11, 15, 14, 13, 12].What is the most representative value of their weekly sales, and why?</t>
  </si>
  <si>
    <t>Q2: Mean in Real Life (Easy) </t>
  </si>
  <si>
    <t>A teacher records the marks of her students in a short quiz: [12, 15, 14, 16, 18, 20, 19].What is the mean score, and what does it tell us about the class’s performance?</t>
  </si>
  <si>
    <t>No of students</t>
  </si>
  <si>
    <t>Total Marks</t>
  </si>
  <si>
    <t>Formula:-</t>
  </si>
  <si>
    <t>Mean = Total Marks ÷ Number of Students</t>
  </si>
  <si>
    <t>Mean:-</t>
  </si>
  <si>
    <t>Explanation:-</t>
  </si>
  <si>
    <t>The average marks of the class is 16.29, which shows that most students performed well and the overall class performance is good.</t>
  </si>
  <si>
    <t>Q3: Mode in Real Life (Easy) </t>
  </si>
  <si>
    <t>A store records the shoe sizes sold in one day: [7, 8, 9, 8, 8, 10, 7, 9].  What is the mode, and why is this information useful for the store manager?</t>
  </si>
  <si>
    <t>Mode = Most frequently occurring value</t>
  </si>
  <si>
    <t>8 occurs maximum times.</t>
  </si>
  <si>
    <t>Answer</t>
  </si>
  <si>
    <t xml:space="preserve">Shoe size 8 is sold the most. This information helps the shopkeeper to keep more stock of size 8 shoes.
</t>
  </si>
  <si>
    <t>Q4: Median in Real Life (Medium)</t>
  </si>
  <si>
    <t>A car dealer notes the prices of used cars: [$8,000, $9,500, $10,200, $11,000, $50,000].Why is the median a better measure than the mean in this case? Calculate the median.</t>
  </si>
  <si>
    <t>Prices</t>
  </si>
  <si>
    <t>The price 50000 is very high and can affect the mean. Median is better because it gives the actual typical car price without being affected by extreme values.</t>
  </si>
  <si>
    <t>Q5: Dispersion Introduction (Medium)</t>
  </si>
  <si>
    <t>A student times how long it takes to finish a puzzle each day: [25, 30, 27, 35, 40].  What does the range tell us about the variation in the student’s puzzle-solving time?</t>
  </si>
  <si>
    <t>Times</t>
  </si>
  <si>
    <t>Range = Maximum value − Minimum value</t>
  </si>
  <si>
    <t>Range</t>
  </si>
  <si>
    <t>Maximum value</t>
  </si>
  <si>
    <t>Minimum value</t>
  </si>
  <si>
    <t xml:space="preserve">The time taken to solve the puzzle varies by 15 minutes, which shows some variation in performance.
</t>
  </si>
  <si>
    <t>Q6: Range in Action (Medium)</t>
  </si>
  <si>
    <t>A farmer records the weekly weight of harvested apples (kg): [100, 105, 98, 110, 120].  Find the range. How can this help the farmer in planning his packaging?</t>
  </si>
  <si>
    <t>Range = Lowest value − Lowest value</t>
  </si>
  <si>
    <t>Lowest value</t>
  </si>
  <si>
    <t>The weight difference helps the farmer decide suitable box sizes for packing apples.</t>
  </si>
  <si>
    <t>22KG</t>
  </si>
  <si>
    <t>Q7: Variance for Decision-Making (Medium)</t>
  </si>
  <si>
    <t>Two delivery companies track delivery delays (in minutes)</t>
  </si>
  <si>
    <t>Which company is more consistent, and why?</t>
  </si>
  <si>
    <t>*Company A: variance = 6</t>
  </si>
  <si>
    <t>*Company B: variance = 15</t>
  </si>
  <si>
    <t>Company A is more consistent</t>
  </si>
  <si>
    <t>Lower variance means less fluctuation. Company A has smaller delays, so it is more reliable than Company B.</t>
  </si>
  <si>
    <t>Q8: Standard Deviation in Context (Hard)</t>
  </si>
  <si>
    <t>A finance student compares the daily price fluctuations of two cryptocurrencies.</t>
  </si>
  <si>
    <t>Coin A: standard deviation = $30</t>
  </si>
  <si>
    <t>Coin B: standard deviation = $120 </t>
  </si>
  <si>
    <t>Which coin is riskier to invest in, and why? </t>
  </si>
  <si>
    <t>Coin B is riskier</t>
  </si>
  <si>
    <t>Higher standard deviation means higher price fluctuation. Coin B’s price changes more, making it riskier.</t>
  </si>
  <si>
    <t>Q9: Combining Measures (Hard)</t>
  </si>
  <si>
    <t>A family records their monthly electricity usage (in kWh): [400, 420, 390, 450, 410].</t>
  </si>
  <si>
    <t>Find the mean and standard deviation. What do these values together tell you about the family’s energy use pattern?</t>
  </si>
  <si>
    <t>Electricity usage</t>
  </si>
  <si>
    <t>month</t>
  </si>
  <si>
    <t xml:space="preserve"> Standard deviation</t>
  </si>
  <si>
    <t>STDEV.P(E20:E24)</t>
  </si>
  <si>
    <t>The family’s electricity usage is around 414 units every month and does not change much, showing stable consumption.</t>
  </si>
  <si>
    <t>Kwh</t>
  </si>
  <si>
    <t>Q10: Practical Application (Hard)</t>
  </si>
  <si>
    <t>A basketball player’s points in 8 games are recorded: [15, 18, 20, 22, 25, 17, 19, 21].  Find the mean, median, mode, range, and standard deviation. What insights can these measures provide about the player’s scoring performance?</t>
  </si>
  <si>
    <t>Games Played</t>
  </si>
  <si>
    <t>Recorded</t>
  </si>
  <si>
    <t>median</t>
  </si>
  <si>
    <t>G49/8</t>
  </si>
  <si>
    <t>On average, the player scores around 20 points per match, which shows good performance.</t>
  </si>
  <si>
    <r>
      <t xml:space="preserve">Since there are </t>
    </r>
    <r>
      <rPr>
        <b/>
        <sz val="11"/>
        <color theme="1"/>
        <rFont val="Aptos Narrow"/>
        <family val="2"/>
        <scheme val="minor"/>
      </rPr>
      <t>8 values (even number)</t>
    </r>
    <r>
      <rPr>
        <sz val="11"/>
        <color theme="1"/>
        <rFont val="Aptos Narrow"/>
        <family val="2"/>
        <scheme val="minor"/>
      </rPr>
      <t>, the median is the average of the 4th and 5th values.</t>
    </r>
  </si>
  <si>
    <t>19+20</t>
  </si>
  <si>
    <t>The median shows the middle performance of the player and confirms that most scores are close to 20.</t>
  </si>
  <si>
    <t>39/2</t>
  </si>
  <si>
    <t>25-15</t>
  </si>
  <si>
    <t>The difference between the highest and lowest score is 10 points, which shows moderate variation in performance.</t>
  </si>
  <si>
    <t>No mode</t>
  </si>
  <si>
    <t>Since no score repeats, there is no most frequent value.</t>
  </si>
  <si>
    <t>Standard Deviation</t>
  </si>
  <si>
    <t>Final Aswer</t>
  </si>
  <si>
    <t>Mean= 19.63</t>
  </si>
  <si>
    <t>Median=19.5</t>
  </si>
  <si>
    <t>Mode= No mode</t>
  </si>
  <si>
    <t>Standard Deviation= 3.0</t>
  </si>
  <si>
    <t>Easy Level</t>
  </si>
  <si>
    <t>Medium Level</t>
  </si>
  <si>
    <t>Hard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</si>
</sst>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0" formatCode="0.0"/>
  </numFmts>
  <fonts count="15" x14ac:knownFonts="1">
    <font>
      <sz val="11"/>
      <color theme="1"/>
      <name val="Aptos Narrow"/>
      <family val="2"/>
      <scheme val="minor"/>
    </font>
    <font>
      <sz val="11"/>
      <color theme="1"/>
      <name val="Aptos Narrow"/>
      <family val="2"/>
      <scheme val="minor"/>
    </font>
    <font>
      <b/>
      <sz val="11"/>
      <color theme="1"/>
      <name val="Aptos Narrow"/>
      <family val="2"/>
      <scheme val="minor"/>
    </font>
    <font>
      <sz val="8"/>
      <color rgb="FF0D0D0D"/>
      <name val="Segoe UI"/>
      <family val="2"/>
    </font>
    <font>
      <sz val="11"/>
      <color theme="1"/>
      <name val="Arial"/>
      <family val="2"/>
    </font>
    <font>
      <sz val="10"/>
      <color rgb="FF0D0D0D"/>
      <name val="Arial"/>
      <family val="2"/>
    </font>
    <font>
      <sz val="12"/>
      <color rgb="FF0D0D0D"/>
      <name val="Arial"/>
      <family val="2"/>
    </font>
    <font>
      <b/>
      <sz val="12"/>
      <color rgb="FF0D0D0D"/>
      <name val="Arial"/>
      <family val="2"/>
    </font>
    <font>
      <b/>
      <sz val="11"/>
      <color theme="1"/>
      <name val="Arial"/>
      <family val="2"/>
    </font>
    <font>
      <sz val="10"/>
      <color rgb="FF0D0D0D"/>
      <name val="Arial"/>
      <family val="2"/>
    </font>
    <font>
      <b/>
      <sz val="10"/>
      <color rgb="FF0D0D0D"/>
      <name val="Arial"/>
      <family val="2"/>
    </font>
    <font>
      <sz val="16"/>
      <color theme="1"/>
      <name val="Aptos Narrow"/>
      <family val="2"/>
      <scheme val="minor"/>
    </font>
    <font>
      <sz val="12"/>
      <color theme="1"/>
      <name val="Aptos Narrow"/>
      <family val="2"/>
      <scheme val="minor"/>
    </font>
    <font>
      <sz val="14"/>
      <color theme="0"/>
      <name val="Arial Black"/>
      <family val="2"/>
    </font>
    <font>
      <sz val="16"/>
      <color theme="0"/>
      <name val="Arial Black"/>
      <family val="2"/>
    </font>
  </fonts>
  <fills count="3">
    <fill>
      <patternFill patternType="none"/>
    </fill>
    <fill>
      <patternFill patternType="gray125"/>
    </fill>
    <fill>
      <patternFill patternType="solid">
        <fgColor theme="9"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54">
    <xf numFmtId="0" fontId="0" fillId="0" borderId="0" xfId="0"/>
    <xf numFmtId="0" fontId="0" fillId="0" borderId="0" xfId="0" applyAlignment="1">
      <alignment horizontal="center"/>
    </xf>
    <xf numFmtId="0" fontId="0" fillId="0" borderId="0" xfId="0" applyAlignment="1">
      <alignment horizontal="center"/>
    </xf>
    <xf numFmtId="0" fontId="4" fillId="0" borderId="0" xfId="0" applyFont="1"/>
    <xf numFmtId="0" fontId="5" fillId="0" borderId="0" xfId="0" applyFont="1" applyAlignment="1">
      <alignment horizontal="left" vertical="center"/>
    </xf>
    <xf numFmtId="0" fontId="0" fillId="0" borderId="1" xfId="0" applyBorder="1"/>
    <xf numFmtId="0" fontId="0" fillId="0" borderId="1" xfId="0" applyBorder="1" applyAlignment="1">
      <alignment horizontal="center"/>
    </xf>
    <xf numFmtId="0" fontId="0" fillId="0" borderId="1" xfId="0" applyBorder="1" applyAlignment="1"/>
    <xf numFmtId="0" fontId="6" fillId="0" borderId="0" xfId="0" applyFont="1"/>
    <xf numFmtId="0" fontId="7" fillId="0" borderId="0" xfId="0" applyFont="1" applyAlignment="1">
      <alignment horizontal="left"/>
    </xf>
    <xf numFmtId="170" fontId="0" fillId="0" borderId="0" xfId="0" applyNumberFormat="1"/>
    <xf numFmtId="0" fontId="0" fillId="0" borderId="0" xfId="0" applyAlignment="1">
      <alignment wrapText="1"/>
    </xf>
    <xf numFmtId="0" fontId="0" fillId="0" borderId="0" xfId="0" applyAlignment="1"/>
    <xf numFmtId="0" fontId="5" fillId="0" borderId="0" xfId="0" applyFont="1" applyAlignment="1">
      <alignment horizontal="left" vertical="top" wrapText="1"/>
    </xf>
    <xf numFmtId="0" fontId="2" fillId="0" borderId="0" xfId="0" applyFont="1" applyAlignment="1">
      <alignment horizontal="left" vertical="top" wrapText="1"/>
    </xf>
    <xf numFmtId="0" fontId="2" fillId="0" borderId="0" xfId="0" applyFont="1" applyAlignment="1">
      <alignment horizontal="left"/>
    </xf>
    <xf numFmtId="0" fontId="0" fillId="0" borderId="1" xfId="0" applyBorder="1" applyAlignment="1">
      <alignment horizontal="center"/>
    </xf>
    <xf numFmtId="0" fontId="4" fillId="0" borderId="0" xfId="0" applyFont="1" applyAlignment="1">
      <alignment horizontal="left" vertical="top" wrapText="1"/>
    </xf>
    <xf numFmtId="0" fontId="4" fillId="0" borderId="0" xfId="0" applyFont="1" applyAlignment="1">
      <alignment vertical="top" wrapText="1"/>
    </xf>
    <xf numFmtId="0" fontId="8" fillId="0" borderId="1" xfId="0" applyFont="1" applyBorder="1" applyAlignment="1">
      <alignment horizontal="center" vertical="top" wrapText="1"/>
    </xf>
    <xf numFmtId="0" fontId="4" fillId="0" borderId="1" xfId="0" applyFont="1" applyBorder="1" applyAlignment="1">
      <alignment horizontal="center"/>
    </xf>
    <xf numFmtId="2" fontId="4" fillId="0" borderId="0" xfId="0" applyNumberFormat="1" applyFont="1"/>
    <xf numFmtId="0" fontId="8" fillId="0" borderId="0" xfId="0" applyFont="1" applyAlignment="1">
      <alignment horizontal="left"/>
    </xf>
    <xf numFmtId="0" fontId="8" fillId="0" borderId="0" xfId="0" applyFont="1" applyAlignment="1">
      <alignment horizontal="left" vertical="top" wrapText="1"/>
    </xf>
    <xf numFmtId="0" fontId="8" fillId="0" borderId="1" xfId="0" applyFont="1" applyBorder="1" applyAlignment="1">
      <alignment horizontal="center"/>
    </xf>
    <xf numFmtId="0" fontId="4" fillId="0" borderId="1" xfId="0" applyFont="1" applyBorder="1" applyAlignment="1">
      <alignment horizontal="center"/>
    </xf>
    <xf numFmtId="0" fontId="9" fillId="0" borderId="0" xfId="0" applyFont="1"/>
    <xf numFmtId="0" fontId="10" fillId="0" borderId="0" xfId="0" applyFont="1" applyAlignment="1">
      <alignment horizontal="left" vertical="center"/>
    </xf>
    <xf numFmtId="0" fontId="4" fillId="0" borderId="1" xfId="0" applyFont="1" applyBorder="1" applyAlignment="1">
      <alignment horizontal="center" vertical="center"/>
    </xf>
    <xf numFmtId="0" fontId="5" fillId="0" borderId="1" xfId="0" applyFont="1" applyBorder="1" applyAlignment="1">
      <alignment horizontal="left" vertical="top" wrapText="1"/>
    </xf>
    <xf numFmtId="2" fontId="3" fillId="0" borderId="0" xfId="0" applyNumberFormat="1" applyFont="1" applyAlignment="1">
      <alignment vertical="center"/>
    </xf>
    <xf numFmtId="0" fontId="8" fillId="0" borderId="0" xfId="0" applyFont="1"/>
    <xf numFmtId="0" fontId="5" fillId="0" borderId="0" xfId="0" applyFont="1" applyAlignment="1">
      <alignment horizontal="left"/>
    </xf>
    <xf numFmtId="0" fontId="10" fillId="0" borderId="0" xfId="0" applyFont="1" applyAlignment="1">
      <alignment horizontal="left"/>
    </xf>
    <xf numFmtId="0" fontId="4" fillId="0" borderId="1" xfId="0" applyFont="1" applyBorder="1"/>
    <xf numFmtId="0" fontId="4" fillId="0" borderId="1" xfId="0" applyFont="1" applyBorder="1" applyAlignment="1">
      <alignment horizontal="left"/>
    </xf>
    <xf numFmtId="0" fontId="2" fillId="0" borderId="0" xfId="0" applyFont="1"/>
    <xf numFmtId="0" fontId="2" fillId="0" borderId="1" xfId="0" applyFont="1" applyBorder="1"/>
    <xf numFmtId="0" fontId="2" fillId="0" borderId="1" xfId="0" applyFont="1" applyBorder="1" applyAlignment="1">
      <alignment horizontal="center"/>
    </xf>
    <xf numFmtId="0" fontId="0" fillId="0" borderId="1" xfId="0" applyFont="1" applyBorder="1" applyAlignment="1">
      <alignment horizontal="center"/>
    </xf>
    <xf numFmtId="0" fontId="2" fillId="0" borderId="0" xfId="0" applyFont="1" applyAlignment="1">
      <alignment horizontal="left" wrapText="1"/>
    </xf>
    <xf numFmtId="0" fontId="2" fillId="0" borderId="0" xfId="0" applyFont="1" applyAlignment="1">
      <alignment horizontal="center"/>
    </xf>
    <xf numFmtId="0" fontId="2" fillId="0" borderId="0" xfId="0" applyFont="1" applyAlignment="1">
      <alignment horizontal="left"/>
    </xf>
    <xf numFmtId="0" fontId="2" fillId="0" borderId="1" xfId="0" applyFont="1" applyBorder="1" applyAlignment="1">
      <alignment horizontal="center" wrapText="1"/>
    </xf>
    <xf numFmtId="1" fontId="0" fillId="0" borderId="0" xfId="0" applyNumberFormat="1"/>
    <xf numFmtId="0" fontId="0" fillId="0" borderId="1" xfId="0" applyBorder="1" applyAlignment="1">
      <alignment horizontal="left"/>
    </xf>
    <xf numFmtId="1" fontId="0" fillId="0" borderId="2" xfId="0" applyNumberFormat="1" applyBorder="1"/>
    <xf numFmtId="43" fontId="11" fillId="0" borderId="1" xfId="1" applyFont="1" applyBorder="1" applyAlignment="1">
      <alignment horizontal="center" vertical="center"/>
    </xf>
    <xf numFmtId="0" fontId="0" fillId="0" borderId="1" xfId="0" applyBorder="1" applyAlignment="1">
      <alignment horizontal="left" vertical="top" wrapText="1"/>
    </xf>
    <xf numFmtId="0" fontId="11" fillId="0" borderId="1" xfId="0" applyFont="1" applyBorder="1" applyAlignment="1">
      <alignment horizontal="center" vertical="center"/>
    </xf>
    <xf numFmtId="0" fontId="12" fillId="0" borderId="1" xfId="0" applyFont="1" applyBorder="1"/>
    <xf numFmtId="2" fontId="0" fillId="0" borderId="1" xfId="0" applyNumberFormat="1" applyBorder="1" applyAlignment="1">
      <alignment horizontal="center"/>
    </xf>
    <xf numFmtId="0" fontId="13" fillId="2" borderId="1" xfId="0" applyFont="1" applyFill="1" applyBorder="1" applyAlignment="1">
      <alignment horizontal="center" vertical="center"/>
    </xf>
    <xf numFmtId="0" fontId="14" fillId="2" borderId="1" xfId="0" applyFont="1" applyFill="1" applyBorder="1" applyAlignment="1">
      <alignment horizontal="center"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0220E-0E66-4DAA-B8C7-600C8AB5B49B}">
  <dimension ref="A1:K67"/>
  <sheetViews>
    <sheetView topLeftCell="A16" workbookViewId="0">
      <selection activeCell="K16" sqref="K16"/>
    </sheetView>
  </sheetViews>
  <sheetFormatPr defaultRowHeight="14" x14ac:dyDescent="0.3"/>
  <cols>
    <col min="1" max="1" width="8.7265625" style="3"/>
    <col min="2" max="2" width="9" style="3" bestFit="1" customWidth="1"/>
    <col min="3" max="16384" width="8.7265625" style="3"/>
  </cols>
  <sheetData>
    <row r="1" spans="1:11" x14ac:dyDescent="0.3">
      <c r="B1" s="52" t="s">
        <v>92</v>
      </c>
      <c r="C1" s="52"/>
    </row>
    <row r="2" spans="1:11" x14ac:dyDescent="0.3">
      <c r="B2" s="52"/>
      <c r="C2" s="52"/>
    </row>
    <row r="4" spans="1:11" ht="14.5" customHeight="1" x14ac:dyDescent="0.3">
      <c r="B4" s="17" t="s">
        <v>14</v>
      </c>
      <c r="C4" s="17"/>
      <c r="D4" s="17"/>
      <c r="E4" s="17"/>
      <c r="F4" s="17"/>
      <c r="G4" s="17"/>
      <c r="H4" s="17"/>
      <c r="I4" s="17"/>
      <c r="J4" s="17"/>
      <c r="K4" s="18"/>
    </row>
    <row r="5" spans="1:11" x14ac:dyDescent="0.3">
      <c r="B5" s="17"/>
      <c r="C5" s="17"/>
      <c r="D5" s="17"/>
      <c r="E5" s="17"/>
      <c r="F5" s="17"/>
      <c r="G5" s="17"/>
      <c r="H5" s="17"/>
      <c r="I5" s="17"/>
      <c r="J5" s="17"/>
      <c r="K5" s="18"/>
    </row>
    <row r="6" spans="1:11" x14ac:dyDescent="0.3">
      <c r="B6" s="17"/>
      <c r="C6" s="17"/>
      <c r="D6" s="17"/>
      <c r="E6" s="17"/>
      <c r="F6" s="17"/>
      <c r="G6" s="17"/>
      <c r="H6" s="17"/>
      <c r="I6" s="17"/>
      <c r="J6" s="17"/>
      <c r="K6" s="18"/>
    </row>
    <row r="7" spans="1:11" x14ac:dyDescent="0.3">
      <c r="B7" s="18"/>
      <c r="C7" s="18"/>
      <c r="D7" s="18"/>
      <c r="E7" s="18"/>
      <c r="F7" s="18"/>
      <c r="G7" s="18"/>
      <c r="H7" s="18"/>
      <c r="I7" s="18"/>
      <c r="J7" s="18"/>
      <c r="K7" s="18"/>
    </row>
    <row r="8" spans="1:11" x14ac:dyDescent="0.3">
      <c r="A8" s="31" t="s">
        <v>28</v>
      </c>
      <c r="B8" s="26" t="s">
        <v>4</v>
      </c>
      <c r="C8" s="18"/>
      <c r="D8" s="18"/>
      <c r="E8" s="19" t="s">
        <v>9</v>
      </c>
      <c r="F8" s="19" t="s">
        <v>10</v>
      </c>
      <c r="G8" s="18"/>
      <c r="H8" s="18"/>
      <c r="I8" s="18"/>
      <c r="J8" s="18"/>
      <c r="K8" s="18"/>
    </row>
    <row r="9" spans="1:11" x14ac:dyDescent="0.3">
      <c r="E9" s="20">
        <v>1</v>
      </c>
      <c r="F9" s="20">
        <v>10</v>
      </c>
    </row>
    <row r="10" spans="1:11" x14ac:dyDescent="0.3">
      <c r="E10" s="20">
        <v>2</v>
      </c>
      <c r="F10" s="20">
        <v>12</v>
      </c>
    </row>
    <row r="11" spans="1:11" x14ac:dyDescent="0.3">
      <c r="E11" s="20">
        <v>3</v>
      </c>
      <c r="F11" s="20">
        <v>11</v>
      </c>
    </row>
    <row r="12" spans="1:11" x14ac:dyDescent="0.3">
      <c r="E12" s="20">
        <v>4</v>
      </c>
      <c r="F12" s="20">
        <v>15</v>
      </c>
    </row>
    <row r="13" spans="1:11" x14ac:dyDescent="0.3">
      <c r="E13" s="20">
        <v>5</v>
      </c>
      <c r="F13" s="20">
        <v>14</v>
      </c>
    </row>
    <row r="14" spans="1:11" x14ac:dyDescent="0.3">
      <c r="E14" s="20">
        <v>6</v>
      </c>
      <c r="F14" s="20">
        <v>13</v>
      </c>
    </row>
    <row r="15" spans="1:11" x14ac:dyDescent="0.3">
      <c r="E15" s="20">
        <v>7</v>
      </c>
      <c r="F15" s="20">
        <v>12</v>
      </c>
    </row>
    <row r="16" spans="1:11" x14ac:dyDescent="0.3">
      <c r="E16" s="20" t="s">
        <v>5</v>
      </c>
      <c r="F16" s="20">
        <f>SUM(F9:F15)</f>
        <v>87</v>
      </c>
    </row>
    <row r="18" spans="2:8" x14ac:dyDescent="0.3">
      <c r="B18" s="4" t="s">
        <v>6</v>
      </c>
      <c r="C18" s="4"/>
      <c r="D18" s="4"/>
      <c r="E18" s="4"/>
      <c r="F18" s="4"/>
    </row>
    <row r="19" spans="2:8" x14ac:dyDescent="0.3">
      <c r="B19" s="4" t="s">
        <v>7</v>
      </c>
      <c r="C19" s="4"/>
      <c r="D19" s="4"/>
      <c r="E19" s="4"/>
      <c r="F19" s="4"/>
    </row>
    <row r="20" spans="2:8" x14ac:dyDescent="0.3">
      <c r="B20" s="4" t="s">
        <v>8</v>
      </c>
      <c r="C20" s="4"/>
      <c r="D20" s="4"/>
      <c r="E20" s="4"/>
      <c r="F20" s="4"/>
    </row>
    <row r="23" spans="2:8" ht="15.5" x14ac:dyDescent="0.35">
      <c r="B23" s="9" t="s">
        <v>1</v>
      </c>
      <c r="C23" s="9"/>
    </row>
    <row r="25" spans="2:8" x14ac:dyDescent="0.3">
      <c r="B25" s="3" t="s">
        <v>11</v>
      </c>
      <c r="C25" s="21">
        <f>87/7</f>
        <v>12.428571428571429</v>
      </c>
    </row>
    <row r="26" spans="2:8" x14ac:dyDescent="0.3">
      <c r="B26" s="3" t="s">
        <v>12</v>
      </c>
      <c r="C26" s="3">
        <v>12</v>
      </c>
    </row>
    <row r="27" spans="2:8" x14ac:dyDescent="0.3">
      <c r="B27" s="3" t="s">
        <v>13</v>
      </c>
      <c r="C27" s="3">
        <v>12</v>
      </c>
    </row>
    <row r="29" spans="2:8" ht="15.5" x14ac:dyDescent="0.35">
      <c r="B29" s="8" t="s">
        <v>2</v>
      </c>
    </row>
    <row r="31" spans="2:8" ht="14.5" customHeight="1" x14ac:dyDescent="0.3">
      <c r="B31" s="13" t="s">
        <v>3</v>
      </c>
      <c r="C31" s="13"/>
      <c r="D31" s="13"/>
      <c r="E31" s="13"/>
      <c r="F31" s="13"/>
      <c r="G31" s="13"/>
      <c r="H31" s="13"/>
    </row>
    <row r="32" spans="2:8" x14ac:dyDescent="0.3">
      <c r="B32" s="13"/>
      <c r="C32" s="13"/>
      <c r="D32" s="13"/>
      <c r="E32" s="13"/>
      <c r="F32" s="13"/>
      <c r="G32" s="13"/>
      <c r="H32" s="13"/>
    </row>
    <row r="33" spans="1:8" x14ac:dyDescent="0.3">
      <c r="B33" s="13"/>
      <c r="C33" s="13"/>
      <c r="D33" s="13"/>
      <c r="E33" s="13"/>
      <c r="F33" s="13"/>
      <c r="G33" s="13"/>
      <c r="H33" s="13"/>
    </row>
    <row r="35" spans="1:8" x14ac:dyDescent="0.3">
      <c r="B35" s="22" t="s">
        <v>15</v>
      </c>
      <c r="C35" s="22"/>
      <c r="D35" s="22"/>
    </row>
    <row r="36" spans="1:8" ht="14.5" customHeight="1" x14ac:dyDescent="0.3">
      <c r="B36" s="23" t="s">
        <v>16</v>
      </c>
      <c r="C36" s="23"/>
      <c r="D36" s="23"/>
      <c r="E36" s="23"/>
      <c r="F36" s="23"/>
      <c r="G36" s="23"/>
      <c r="H36" s="23"/>
    </row>
    <row r="37" spans="1:8" x14ac:dyDescent="0.3">
      <c r="B37" s="23"/>
      <c r="C37" s="23"/>
      <c r="D37" s="23"/>
      <c r="E37" s="23"/>
      <c r="F37" s="23"/>
      <c r="G37" s="23"/>
      <c r="H37" s="23"/>
    </row>
    <row r="38" spans="1:8" x14ac:dyDescent="0.3">
      <c r="B38" s="23"/>
      <c r="C38" s="23"/>
      <c r="D38" s="23"/>
      <c r="E38" s="23"/>
      <c r="F38" s="23"/>
      <c r="G38" s="23"/>
      <c r="H38" s="23"/>
    </row>
    <row r="40" spans="1:8" x14ac:dyDescent="0.3">
      <c r="A40" s="31" t="s">
        <v>28</v>
      </c>
      <c r="D40" s="24" t="s">
        <v>17</v>
      </c>
      <c r="E40" s="24"/>
      <c r="F40" s="24" t="s">
        <v>18</v>
      </c>
      <c r="G40" s="24"/>
    </row>
    <row r="41" spans="1:8" x14ac:dyDescent="0.3">
      <c r="D41" s="25">
        <v>1</v>
      </c>
      <c r="E41" s="25"/>
      <c r="F41" s="25">
        <v>12</v>
      </c>
      <c r="G41" s="25"/>
    </row>
    <row r="42" spans="1:8" x14ac:dyDescent="0.3">
      <c r="D42" s="25">
        <v>2</v>
      </c>
      <c r="E42" s="25"/>
      <c r="F42" s="25">
        <v>15</v>
      </c>
      <c r="G42" s="25"/>
    </row>
    <row r="43" spans="1:8" x14ac:dyDescent="0.3">
      <c r="D43" s="25">
        <v>3</v>
      </c>
      <c r="E43" s="25"/>
      <c r="F43" s="25">
        <v>14</v>
      </c>
      <c r="G43" s="25"/>
    </row>
    <row r="44" spans="1:8" x14ac:dyDescent="0.3">
      <c r="D44" s="25">
        <v>4</v>
      </c>
      <c r="E44" s="25"/>
      <c r="F44" s="25">
        <v>16</v>
      </c>
      <c r="G44" s="25"/>
    </row>
    <row r="45" spans="1:8" x14ac:dyDescent="0.3">
      <c r="D45" s="25">
        <v>5</v>
      </c>
      <c r="E45" s="25"/>
      <c r="F45" s="25">
        <v>18</v>
      </c>
      <c r="G45" s="25"/>
    </row>
    <row r="46" spans="1:8" x14ac:dyDescent="0.3">
      <c r="D46" s="25">
        <v>6</v>
      </c>
      <c r="E46" s="25"/>
      <c r="F46" s="25">
        <v>20</v>
      </c>
      <c r="G46" s="25"/>
    </row>
    <row r="47" spans="1:8" x14ac:dyDescent="0.3">
      <c r="D47" s="25">
        <v>7</v>
      </c>
      <c r="E47" s="25"/>
      <c r="F47" s="25">
        <v>19</v>
      </c>
      <c r="G47" s="25"/>
    </row>
    <row r="48" spans="1:8" x14ac:dyDescent="0.3">
      <c r="F48" s="25">
        <f>SUM(F41:G47)</f>
        <v>114</v>
      </c>
      <c r="G48" s="25"/>
    </row>
    <row r="50" spans="1:9" x14ac:dyDescent="0.3">
      <c r="B50" s="26" t="s">
        <v>19</v>
      </c>
      <c r="C50" s="27" t="s">
        <v>20</v>
      </c>
      <c r="D50" s="27"/>
      <c r="E50" s="27"/>
      <c r="F50" s="27"/>
      <c r="G50" s="27"/>
    </row>
    <row r="51" spans="1:9" ht="14.5" x14ac:dyDescent="0.35">
      <c r="C51" s="12"/>
    </row>
    <row r="52" spans="1:9" x14ac:dyDescent="0.3">
      <c r="B52" s="3" t="s">
        <v>21</v>
      </c>
      <c r="C52" s="30">
        <f>114/7</f>
        <v>16.285714285714285</v>
      </c>
    </row>
    <row r="54" spans="1:9" x14ac:dyDescent="0.3">
      <c r="B54" s="28" t="s">
        <v>22</v>
      </c>
      <c r="C54" s="28"/>
      <c r="D54" s="29" t="s">
        <v>23</v>
      </c>
      <c r="E54" s="29"/>
      <c r="F54" s="29"/>
      <c r="G54" s="29"/>
      <c r="H54" s="29"/>
      <c r="I54" s="29"/>
    </row>
    <row r="55" spans="1:9" x14ac:dyDescent="0.3">
      <c r="B55" s="28"/>
      <c r="C55" s="28"/>
      <c r="D55" s="29"/>
      <c r="E55" s="29"/>
      <c r="F55" s="29"/>
      <c r="G55" s="29"/>
      <c r="H55" s="29"/>
      <c r="I55" s="29"/>
    </row>
    <row r="58" spans="1:9" ht="14.5" x14ac:dyDescent="0.35">
      <c r="B58" s="15" t="s">
        <v>24</v>
      </c>
      <c r="C58" s="15"/>
      <c r="D58" s="15"/>
      <c r="E58" s="15"/>
    </row>
    <row r="59" spans="1:9" ht="14.5" customHeight="1" x14ac:dyDescent="0.3">
      <c r="B59" s="14" t="s">
        <v>25</v>
      </c>
      <c r="C59" s="14"/>
      <c r="D59" s="14"/>
      <c r="E59" s="14"/>
      <c r="F59" s="14"/>
      <c r="G59" s="14"/>
      <c r="H59" s="14"/>
      <c r="I59" s="14"/>
    </row>
    <row r="60" spans="1:9" x14ac:dyDescent="0.3">
      <c r="B60" s="14"/>
      <c r="C60" s="14"/>
      <c r="D60" s="14"/>
      <c r="E60" s="14"/>
      <c r="F60" s="14"/>
      <c r="G60" s="14"/>
      <c r="H60" s="14"/>
      <c r="I60" s="14"/>
    </row>
    <row r="62" spans="1:9" x14ac:dyDescent="0.3">
      <c r="A62" s="31" t="s">
        <v>28</v>
      </c>
      <c r="B62" s="31" t="s">
        <v>19</v>
      </c>
      <c r="C62" s="33" t="s">
        <v>26</v>
      </c>
      <c r="D62" s="33"/>
      <c r="E62" s="33"/>
      <c r="F62" s="33"/>
      <c r="G62" s="33"/>
    </row>
    <row r="64" spans="1:9" x14ac:dyDescent="0.3">
      <c r="B64" s="34" t="s">
        <v>13</v>
      </c>
      <c r="C64" s="35" t="s">
        <v>27</v>
      </c>
      <c r="D64" s="35"/>
      <c r="E64" s="35"/>
      <c r="F64" s="35"/>
    </row>
    <row r="66" spans="2:9" x14ac:dyDescent="0.3">
      <c r="B66" s="28" t="s">
        <v>22</v>
      </c>
      <c r="C66" s="28"/>
      <c r="D66" s="29" t="s">
        <v>29</v>
      </c>
      <c r="E66" s="29"/>
      <c r="F66" s="29"/>
      <c r="G66" s="29"/>
      <c r="H66" s="29"/>
      <c r="I66" s="29"/>
    </row>
    <row r="67" spans="2:9" x14ac:dyDescent="0.3">
      <c r="B67" s="28"/>
      <c r="C67" s="28"/>
      <c r="D67" s="29"/>
      <c r="E67" s="29"/>
      <c r="F67" s="29"/>
      <c r="G67" s="29"/>
      <c r="H67" s="29"/>
      <c r="I67" s="29"/>
    </row>
  </sheetData>
  <mergeCells count="35">
    <mergeCell ref="B1:C2"/>
    <mergeCell ref="B58:E58"/>
    <mergeCell ref="B59:I60"/>
    <mergeCell ref="C62:G62"/>
    <mergeCell ref="C64:F64"/>
    <mergeCell ref="B66:C67"/>
    <mergeCell ref="D66:I67"/>
    <mergeCell ref="F47:G47"/>
    <mergeCell ref="F48:G48"/>
    <mergeCell ref="C50:G50"/>
    <mergeCell ref="D54:I55"/>
    <mergeCell ref="B54:C55"/>
    <mergeCell ref="F41:G41"/>
    <mergeCell ref="F42:G42"/>
    <mergeCell ref="F43:G43"/>
    <mergeCell ref="F44:G44"/>
    <mergeCell ref="F45:G45"/>
    <mergeCell ref="F46:G46"/>
    <mergeCell ref="D41:E41"/>
    <mergeCell ref="D42:E42"/>
    <mergeCell ref="D43:E43"/>
    <mergeCell ref="D44:E44"/>
    <mergeCell ref="D45:E45"/>
    <mergeCell ref="D46:E46"/>
    <mergeCell ref="D47:E47"/>
    <mergeCell ref="B31:H33"/>
    <mergeCell ref="B35:D35"/>
    <mergeCell ref="B36:H38"/>
    <mergeCell ref="D40:E40"/>
    <mergeCell ref="F40:G40"/>
    <mergeCell ref="B4:J6"/>
    <mergeCell ref="B18:F18"/>
    <mergeCell ref="B20:F20"/>
    <mergeCell ref="B19:F19"/>
    <mergeCell ref="B23:C2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5531F-8ACA-4260-8723-15D2295DE74B}">
  <dimension ref="A1:K70"/>
  <sheetViews>
    <sheetView tabSelected="1" topLeftCell="A58" workbookViewId="0">
      <selection activeCell="J64" sqref="J64"/>
    </sheetView>
  </sheetViews>
  <sheetFormatPr defaultRowHeight="14.5" x14ac:dyDescent="0.35"/>
  <cols>
    <col min="2" max="2" width="13.36328125" bestFit="1" customWidth="1"/>
  </cols>
  <sheetData>
    <row r="1" spans="1:11" x14ac:dyDescent="0.35">
      <c r="C1" s="53" t="s">
        <v>93</v>
      </c>
      <c r="D1" s="53"/>
      <c r="E1" s="53"/>
    </row>
    <row r="2" spans="1:11" x14ac:dyDescent="0.35">
      <c r="C2" s="53"/>
      <c r="D2" s="53"/>
      <c r="E2" s="53"/>
    </row>
    <row r="5" spans="1:11" x14ac:dyDescent="0.35">
      <c r="B5" s="15" t="s">
        <v>30</v>
      </c>
      <c r="C5" s="15"/>
      <c r="D5" s="15"/>
      <c r="E5" s="15"/>
      <c r="F5" s="15"/>
    </row>
    <row r="6" spans="1:11" ht="14.5" customHeight="1" x14ac:dyDescent="0.35">
      <c r="B6" s="14" t="s">
        <v>31</v>
      </c>
      <c r="C6" s="14"/>
      <c r="D6" s="14"/>
      <c r="E6" s="14"/>
      <c r="F6" s="14"/>
      <c r="G6" s="14"/>
      <c r="H6" s="14"/>
      <c r="I6" s="14"/>
    </row>
    <row r="7" spans="1:11" x14ac:dyDescent="0.35">
      <c r="B7" s="14"/>
      <c r="C7" s="14"/>
      <c r="D7" s="14"/>
      <c r="E7" s="14"/>
      <c r="F7" s="14"/>
      <c r="G7" s="14"/>
      <c r="H7" s="14"/>
      <c r="I7" s="14"/>
    </row>
    <row r="8" spans="1:11" x14ac:dyDescent="0.35">
      <c r="B8" s="14"/>
      <c r="C8" s="14"/>
      <c r="D8" s="14"/>
      <c r="E8" s="14"/>
      <c r="F8" s="14"/>
      <c r="G8" s="14"/>
      <c r="H8" s="14"/>
      <c r="I8" s="14"/>
    </row>
    <row r="9" spans="1:11" x14ac:dyDescent="0.35">
      <c r="A9" s="36" t="s">
        <v>28</v>
      </c>
    </row>
    <row r="10" spans="1:11" x14ac:dyDescent="0.35">
      <c r="E10" s="38" t="s">
        <v>32</v>
      </c>
    </row>
    <row r="11" spans="1:11" x14ac:dyDescent="0.35">
      <c r="E11" s="39">
        <v>8000</v>
      </c>
    </row>
    <row r="12" spans="1:11" x14ac:dyDescent="0.35">
      <c r="E12" s="39">
        <v>9500</v>
      </c>
      <c r="K12" s="1"/>
    </row>
    <row r="13" spans="1:11" x14ac:dyDescent="0.35">
      <c r="E13" s="38">
        <v>10200</v>
      </c>
    </row>
    <row r="14" spans="1:11" x14ac:dyDescent="0.35">
      <c r="E14" s="39">
        <v>11000</v>
      </c>
    </row>
    <row r="15" spans="1:11" x14ac:dyDescent="0.35">
      <c r="E15" s="39">
        <v>50000</v>
      </c>
    </row>
    <row r="17" spans="1:10" x14ac:dyDescent="0.35">
      <c r="B17" s="26" t="s">
        <v>19</v>
      </c>
    </row>
    <row r="18" spans="1:10" x14ac:dyDescent="0.35">
      <c r="B18" s="4" t="s">
        <v>0</v>
      </c>
      <c r="C18" s="4"/>
      <c r="D18" s="4"/>
      <c r="E18" s="4"/>
      <c r="F18" s="4"/>
    </row>
    <row r="19" spans="1:10" x14ac:dyDescent="0.35">
      <c r="B19" t="s">
        <v>12</v>
      </c>
      <c r="C19" s="36">
        <v>10200</v>
      </c>
    </row>
    <row r="21" spans="1:10" ht="14.5" customHeight="1" x14ac:dyDescent="0.35">
      <c r="B21" s="28" t="s">
        <v>22</v>
      </c>
      <c r="C21" s="28"/>
      <c r="D21" s="29" t="s">
        <v>33</v>
      </c>
      <c r="E21" s="29"/>
      <c r="F21" s="29"/>
      <c r="G21" s="29"/>
      <c r="H21" s="29"/>
      <c r="I21" s="29"/>
      <c r="J21" s="29"/>
    </row>
    <row r="22" spans="1:10" x14ac:dyDescent="0.35">
      <c r="B22" s="28"/>
      <c r="C22" s="28"/>
      <c r="D22" s="29"/>
      <c r="E22" s="29"/>
      <c r="F22" s="29"/>
      <c r="G22" s="29"/>
      <c r="H22" s="29"/>
      <c r="I22" s="29"/>
      <c r="J22" s="29"/>
    </row>
    <row r="23" spans="1:10" x14ac:dyDescent="0.35">
      <c r="B23" s="28"/>
      <c r="C23" s="28"/>
      <c r="D23" s="29"/>
      <c r="E23" s="29"/>
      <c r="F23" s="29"/>
      <c r="G23" s="29"/>
      <c r="H23" s="29"/>
      <c r="I23" s="29"/>
      <c r="J23" s="29"/>
    </row>
    <row r="25" spans="1:10" x14ac:dyDescent="0.35">
      <c r="B25" s="15" t="s">
        <v>34</v>
      </c>
      <c r="C25" s="15"/>
      <c r="D25" s="15"/>
      <c r="E25" s="15"/>
    </row>
    <row r="26" spans="1:10" x14ac:dyDescent="0.35">
      <c r="B26" s="40" t="s">
        <v>35</v>
      </c>
      <c r="C26" s="40"/>
      <c r="D26" s="40"/>
      <c r="E26" s="40"/>
      <c r="F26" s="40"/>
      <c r="G26" s="40"/>
      <c r="H26" s="40"/>
      <c r="I26" s="40"/>
      <c r="J26" s="40"/>
    </row>
    <row r="27" spans="1:10" x14ac:dyDescent="0.35">
      <c r="B27" s="40"/>
      <c r="C27" s="40"/>
      <c r="D27" s="40"/>
      <c r="E27" s="40"/>
      <c r="F27" s="40"/>
      <c r="G27" s="40"/>
      <c r="H27" s="40"/>
      <c r="I27" s="40"/>
      <c r="J27" s="40"/>
    </row>
    <row r="29" spans="1:10" x14ac:dyDescent="0.35">
      <c r="A29" s="36" t="s">
        <v>28</v>
      </c>
      <c r="D29" s="38" t="s">
        <v>36</v>
      </c>
    </row>
    <row r="30" spans="1:10" x14ac:dyDescent="0.35">
      <c r="D30" s="39">
        <v>25</v>
      </c>
    </row>
    <row r="31" spans="1:10" x14ac:dyDescent="0.35">
      <c r="D31" s="39">
        <v>30</v>
      </c>
    </row>
    <row r="32" spans="1:10" x14ac:dyDescent="0.35">
      <c r="D32" s="39">
        <v>27</v>
      </c>
    </row>
    <row r="33" spans="2:9" x14ac:dyDescent="0.35">
      <c r="D33" s="39">
        <v>35</v>
      </c>
    </row>
    <row r="34" spans="2:9" x14ac:dyDescent="0.35">
      <c r="D34" s="39">
        <v>40</v>
      </c>
    </row>
    <row r="36" spans="2:9" x14ac:dyDescent="0.35">
      <c r="B36" s="36" t="s">
        <v>19</v>
      </c>
      <c r="C36" s="32" t="s">
        <v>37</v>
      </c>
      <c r="D36" s="32"/>
      <c r="E36" s="32"/>
      <c r="F36" s="32"/>
    </row>
    <row r="38" spans="2:9" x14ac:dyDescent="0.35">
      <c r="B38" s="6" t="s">
        <v>39</v>
      </c>
      <c r="C38" s="6">
        <v>40</v>
      </c>
    </row>
    <row r="39" spans="2:9" x14ac:dyDescent="0.35">
      <c r="B39" s="6" t="s">
        <v>40</v>
      </c>
      <c r="C39" s="6">
        <v>25</v>
      </c>
    </row>
    <row r="40" spans="2:9" x14ac:dyDescent="0.35">
      <c r="B40" s="6" t="s">
        <v>38</v>
      </c>
      <c r="C40" s="6">
        <f>C38-C39</f>
        <v>15</v>
      </c>
    </row>
    <row r="42" spans="2:9" x14ac:dyDescent="0.35">
      <c r="B42" s="28" t="s">
        <v>22</v>
      </c>
      <c r="C42" s="28"/>
      <c r="D42" s="29" t="s">
        <v>41</v>
      </c>
      <c r="E42" s="29"/>
      <c r="F42" s="29"/>
      <c r="G42" s="29"/>
      <c r="H42" s="29"/>
      <c r="I42" s="29"/>
    </row>
    <row r="43" spans="2:9" x14ac:dyDescent="0.35">
      <c r="B43" s="28"/>
      <c r="C43" s="28"/>
      <c r="D43" s="29"/>
      <c r="E43" s="29"/>
      <c r="F43" s="29"/>
      <c r="G43" s="29"/>
      <c r="H43" s="29"/>
      <c r="I43" s="29"/>
    </row>
    <row r="46" spans="2:9" x14ac:dyDescent="0.35">
      <c r="B46" s="15" t="s">
        <v>42</v>
      </c>
      <c r="C46" s="15"/>
      <c r="D46" s="15"/>
    </row>
    <row r="47" spans="2:9" x14ac:dyDescent="0.35">
      <c r="B47" s="40" t="s">
        <v>43</v>
      </c>
      <c r="C47" s="40"/>
      <c r="D47" s="40"/>
      <c r="E47" s="40"/>
      <c r="F47" s="40"/>
      <c r="G47" s="40"/>
      <c r="H47" s="40"/>
      <c r="I47" s="40"/>
    </row>
    <row r="48" spans="2:9" x14ac:dyDescent="0.35">
      <c r="B48" s="40"/>
      <c r="C48" s="40"/>
      <c r="D48" s="40"/>
      <c r="E48" s="40"/>
      <c r="F48" s="40"/>
      <c r="G48" s="40"/>
      <c r="H48" s="40"/>
      <c r="I48" s="40"/>
    </row>
    <row r="50" spans="2:9" x14ac:dyDescent="0.35">
      <c r="B50" s="36" t="s">
        <v>19</v>
      </c>
      <c r="C50" s="32" t="s">
        <v>44</v>
      </c>
      <c r="D50" s="32"/>
      <c r="E50" s="32"/>
      <c r="F50" s="32"/>
    </row>
    <row r="52" spans="2:9" x14ac:dyDescent="0.35">
      <c r="B52" s="6" t="s">
        <v>39</v>
      </c>
      <c r="C52" s="6">
        <v>120</v>
      </c>
    </row>
    <row r="53" spans="2:9" x14ac:dyDescent="0.35">
      <c r="B53" s="6" t="s">
        <v>45</v>
      </c>
      <c r="C53" s="6">
        <v>98</v>
      </c>
    </row>
    <row r="54" spans="2:9" x14ac:dyDescent="0.35">
      <c r="B54" s="6" t="s">
        <v>38</v>
      </c>
      <c r="C54" s="6">
        <f>C52-C53</f>
        <v>22</v>
      </c>
    </row>
    <row r="56" spans="2:9" x14ac:dyDescent="0.35">
      <c r="B56" s="28" t="s">
        <v>22</v>
      </c>
      <c r="C56" s="28"/>
      <c r="D56" s="29" t="s">
        <v>46</v>
      </c>
      <c r="E56" s="29"/>
      <c r="F56" s="29"/>
      <c r="G56" s="29"/>
      <c r="H56" s="29"/>
      <c r="I56" s="29"/>
    </row>
    <row r="57" spans="2:9" x14ac:dyDescent="0.35">
      <c r="B57" s="28"/>
      <c r="C57" s="28"/>
      <c r="D57" s="29"/>
      <c r="E57" s="29"/>
      <c r="F57" s="29"/>
      <c r="G57" s="29"/>
      <c r="H57" s="29"/>
      <c r="I57" s="29"/>
    </row>
    <row r="59" spans="2:9" x14ac:dyDescent="0.35">
      <c r="B59" s="37" t="s">
        <v>38</v>
      </c>
      <c r="C59" s="37" t="s">
        <v>47</v>
      </c>
    </row>
    <row r="61" spans="2:9" x14ac:dyDescent="0.35">
      <c r="B61" s="15" t="s">
        <v>48</v>
      </c>
      <c r="C61" s="15"/>
      <c r="D61" s="15"/>
      <c r="E61" s="15"/>
      <c r="F61" s="15"/>
    </row>
    <row r="62" spans="2:9" x14ac:dyDescent="0.35">
      <c r="B62" s="41" t="s">
        <v>49</v>
      </c>
      <c r="C62" s="41"/>
      <c r="D62" s="41"/>
      <c r="E62" s="41"/>
      <c r="F62" s="41"/>
    </row>
    <row r="63" spans="2:9" x14ac:dyDescent="0.35">
      <c r="B63" s="15" t="s">
        <v>51</v>
      </c>
      <c r="C63" s="15"/>
      <c r="D63" s="15"/>
      <c r="E63" s="15"/>
      <c r="F63" s="15"/>
    </row>
    <row r="64" spans="2:9" x14ac:dyDescent="0.35">
      <c r="B64" s="15" t="s">
        <v>52</v>
      </c>
      <c r="C64" s="15"/>
      <c r="D64" s="15"/>
      <c r="E64" s="15"/>
      <c r="F64" s="15"/>
    </row>
    <row r="65" spans="1:9" x14ac:dyDescent="0.35">
      <c r="B65" s="15" t="s">
        <v>50</v>
      </c>
      <c r="C65" s="15"/>
      <c r="D65" s="15"/>
      <c r="E65" s="15"/>
      <c r="F65" s="15"/>
    </row>
    <row r="67" spans="1:9" x14ac:dyDescent="0.35">
      <c r="A67" t="s">
        <v>28</v>
      </c>
      <c r="B67" s="15" t="s">
        <v>53</v>
      </c>
      <c r="C67" s="15"/>
      <c r="D67" s="15"/>
    </row>
    <row r="69" spans="1:9" x14ac:dyDescent="0.35">
      <c r="B69" s="28" t="s">
        <v>22</v>
      </c>
      <c r="C69" s="28"/>
      <c r="D69" s="29" t="s">
        <v>54</v>
      </c>
      <c r="E69" s="29"/>
      <c r="F69" s="29"/>
      <c r="G69" s="29"/>
      <c r="H69" s="29"/>
      <c r="I69" s="29"/>
    </row>
    <row r="70" spans="1:9" x14ac:dyDescent="0.35">
      <c r="B70" s="28"/>
      <c r="C70" s="28"/>
      <c r="D70" s="29"/>
      <c r="E70" s="29"/>
      <c r="F70" s="29"/>
      <c r="G70" s="29"/>
      <c r="H70" s="29"/>
      <c r="I70" s="29"/>
    </row>
  </sheetData>
  <mergeCells count="24">
    <mergeCell ref="C1:E2"/>
    <mergeCell ref="B63:F63"/>
    <mergeCell ref="B64:F64"/>
    <mergeCell ref="B65:F65"/>
    <mergeCell ref="B69:C70"/>
    <mergeCell ref="D69:I70"/>
    <mergeCell ref="B67:D67"/>
    <mergeCell ref="B47:I48"/>
    <mergeCell ref="C50:F50"/>
    <mergeCell ref="B56:C57"/>
    <mergeCell ref="D56:I57"/>
    <mergeCell ref="B61:F61"/>
    <mergeCell ref="B62:F62"/>
    <mergeCell ref="B25:E25"/>
    <mergeCell ref="B26:J27"/>
    <mergeCell ref="C36:F36"/>
    <mergeCell ref="B42:C43"/>
    <mergeCell ref="D42:I43"/>
    <mergeCell ref="B46:D46"/>
    <mergeCell ref="B5:F5"/>
    <mergeCell ref="B6:I8"/>
    <mergeCell ref="B18:F18"/>
    <mergeCell ref="D21:J23"/>
    <mergeCell ref="B21:C2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3A2E7-8B62-4BD3-ACA3-F100911D770C}">
  <dimension ref="A1:K93"/>
  <sheetViews>
    <sheetView workbookViewId="0">
      <selection activeCell="G5" sqref="G5"/>
    </sheetView>
  </sheetViews>
  <sheetFormatPr defaultRowHeight="14.5" x14ac:dyDescent="0.35"/>
  <sheetData>
    <row r="1" spans="1:9" x14ac:dyDescent="0.35">
      <c r="B1" s="53" t="s">
        <v>94</v>
      </c>
      <c r="C1" s="53"/>
      <c r="D1" s="53"/>
    </row>
    <row r="2" spans="1:9" x14ac:dyDescent="0.35">
      <c r="B2" s="53"/>
      <c r="C2" s="53"/>
      <c r="D2" s="53"/>
    </row>
    <row r="4" spans="1:9" ht="15" customHeight="1" x14ac:dyDescent="0.35">
      <c r="B4" s="15" t="s">
        <v>55</v>
      </c>
      <c r="C4" s="15"/>
      <c r="D4" s="15"/>
      <c r="E4" s="15"/>
      <c r="F4" s="15"/>
      <c r="G4" s="15"/>
      <c r="H4" s="15"/>
      <c r="I4" s="15"/>
    </row>
    <row r="5" spans="1:9" x14ac:dyDescent="0.35">
      <c r="B5" s="42" t="s">
        <v>56</v>
      </c>
      <c r="C5" s="36"/>
      <c r="D5" s="36"/>
      <c r="E5" s="36"/>
      <c r="F5" s="36"/>
      <c r="G5" s="36"/>
      <c r="H5" s="36"/>
      <c r="I5" s="36"/>
    </row>
    <row r="6" spans="1:9" x14ac:dyDescent="0.35">
      <c r="B6" s="15" t="s">
        <v>57</v>
      </c>
      <c r="C6" s="15"/>
      <c r="D6" s="15"/>
      <c r="E6" s="15"/>
      <c r="F6" s="15"/>
      <c r="G6" s="15"/>
      <c r="H6" s="15"/>
      <c r="I6" s="15"/>
    </row>
    <row r="7" spans="1:9" x14ac:dyDescent="0.35">
      <c r="B7" s="15" t="s">
        <v>58</v>
      </c>
      <c r="C7" s="15"/>
      <c r="D7" s="15"/>
      <c r="E7" s="15"/>
      <c r="F7" s="15"/>
      <c r="G7" s="15"/>
      <c r="H7" s="15"/>
      <c r="I7" s="15"/>
    </row>
    <row r="8" spans="1:9" x14ac:dyDescent="0.35">
      <c r="B8" s="15" t="s">
        <v>59</v>
      </c>
      <c r="C8" s="15"/>
      <c r="D8" s="15"/>
      <c r="E8" s="15"/>
      <c r="F8" s="15"/>
      <c r="G8" s="15"/>
      <c r="H8" s="15"/>
      <c r="I8" s="15"/>
    </row>
    <row r="10" spans="1:9" x14ac:dyDescent="0.35">
      <c r="A10" t="s">
        <v>28</v>
      </c>
      <c r="B10" s="33" t="s">
        <v>60</v>
      </c>
      <c r="C10" s="33"/>
    </row>
    <row r="12" spans="1:9" x14ac:dyDescent="0.35">
      <c r="B12" s="28" t="s">
        <v>22</v>
      </c>
      <c r="C12" s="28"/>
      <c r="D12" s="29" t="s">
        <v>61</v>
      </c>
      <c r="E12" s="29"/>
      <c r="F12" s="29"/>
      <c r="G12" s="29"/>
      <c r="H12" s="29"/>
      <c r="I12" s="29"/>
    </row>
    <row r="13" spans="1:9" x14ac:dyDescent="0.35">
      <c r="B13" s="28"/>
      <c r="C13" s="28"/>
      <c r="D13" s="29"/>
      <c r="E13" s="29"/>
      <c r="F13" s="29"/>
      <c r="G13" s="29"/>
      <c r="H13" s="29"/>
      <c r="I13" s="29"/>
    </row>
    <row r="15" spans="1:9" x14ac:dyDescent="0.35">
      <c r="B15" s="15" t="s">
        <v>62</v>
      </c>
      <c r="C15" s="15"/>
      <c r="D15" s="15"/>
      <c r="E15" s="15"/>
      <c r="F15" s="15"/>
      <c r="G15" s="15"/>
      <c r="H15" s="15"/>
      <c r="I15" s="15"/>
    </row>
    <row r="16" spans="1:9" x14ac:dyDescent="0.35">
      <c r="B16" s="15" t="s">
        <v>63</v>
      </c>
      <c r="C16" s="15"/>
      <c r="D16" s="15"/>
      <c r="E16" s="15"/>
      <c r="F16" s="15"/>
      <c r="G16" s="15"/>
      <c r="H16" s="15"/>
      <c r="I16" s="15"/>
    </row>
    <row r="17" spans="2:9" x14ac:dyDescent="0.35">
      <c r="B17" s="14" t="s">
        <v>64</v>
      </c>
      <c r="C17" s="14"/>
      <c r="D17" s="14"/>
      <c r="E17" s="14"/>
      <c r="F17" s="14"/>
      <c r="G17" s="14"/>
      <c r="H17" s="14"/>
      <c r="I17" s="14"/>
    </row>
    <row r="18" spans="2:9" x14ac:dyDescent="0.35">
      <c r="B18" s="14"/>
      <c r="C18" s="14"/>
      <c r="D18" s="14"/>
      <c r="E18" s="14"/>
      <c r="F18" s="14"/>
      <c r="G18" s="14"/>
      <c r="H18" s="14"/>
      <c r="I18" s="14"/>
    </row>
    <row r="20" spans="2:9" ht="14.5" customHeight="1" x14ac:dyDescent="0.35">
      <c r="D20" s="38" t="s">
        <v>66</v>
      </c>
      <c r="E20" s="43" t="s">
        <v>65</v>
      </c>
      <c r="F20" s="11"/>
    </row>
    <row r="21" spans="2:9" x14ac:dyDescent="0.35">
      <c r="D21" s="6">
        <v>1</v>
      </c>
      <c r="E21" s="6">
        <v>400</v>
      </c>
      <c r="F21" s="12"/>
    </row>
    <row r="22" spans="2:9" x14ac:dyDescent="0.35">
      <c r="D22" s="6">
        <v>2</v>
      </c>
      <c r="E22" s="6">
        <v>420</v>
      </c>
      <c r="F22" s="12"/>
    </row>
    <row r="23" spans="2:9" x14ac:dyDescent="0.35">
      <c r="D23" s="6">
        <v>3</v>
      </c>
      <c r="E23" s="6">
        <v>390</v>
      </c>
      <c r="F23" s="12"/>
    </row>
    <row r="24" spans="2:9" x14ac:dyDescent="0.35">
      <c r="D24" s="6">
        <v>4</v>
      </c>
      <c r="E24" s="6">
        <v>450</v>
      </c>
      <c r="F24" s="12"/>
    </row>
    <row r="25" spans="2:9" x14ac:dyDescent="0.35">
      <c r="D25" s="6">
        <v>5</v>
      </c>
      <c r="E25" s="6">
        <v>410</v>
      </c>
      <c r="F25" s="12"/>
    </row>
    <row r="26" spans="2:9" x14ac:dyDescent="0.35">
      <c r="D26" s="6" t="s">
        <v>5</v>
      </c>
      <c r="E26" s="6">
        <f>SUM(E21:E25)</f>
        <v>2070</v>
      </c>
      <c r="F26" s="12"/>
    </row>
    <row r="28" spans="2:9" x14ac:dyDescent="0.35">
      <c r="B28" s="16" t="s">
        <v>11</v>
      </c>
      <c r="C28" s="16"/>
      <c r="D28" s="7">
        <f>E26/5</f>
        <v>414</v>
      </c>
      <c r="E28" t="s">
        <v>70</v>
      </c>
    </row>
    <row r="29" spans="2:9" x14ac:dyDescent="0.35">
      <c r="B29" s="45" t="s">
        <v>67</v>
      </c>
      <c r="C29" s="45"/>
      <c r="D29" s="46">
        <f>_xlfn.STDEV.P(E21:E25)</f>
        <v>20.591260281974002</v>
      </c>
      <c r="E29" t="s">
        <v>70</v>
      </c>
    </row>
    <row r="30" spans="2:9" x14ac:dyDescent="0.35">
      <c r="B30" s="45" t="s">
        <v>67</v>
      </c>
      <c r="C30" s="45"/>
      <c r="D30" s="16" t="s">
        <v>68</v>
      </c>
      <c r="E30" s="16"/>
    </row>
    <row r="33" spans="2:11" x14ac:dyDescent="0.35">
      <c r="B33" s="28" t="s">
        <v>22</v>
      </c>
      <c r="C33" s="28"/>
      <c r="D33" s="29" t="s">
        <v>69</v>
      </c>
      <c r="E33" s="29"/>
      <c r="F33" s="29"/>
      <c r="G33" s="29"/>
      <c r="H33" s="29"/>
      <c r="I33" s="29"/>
    </row>
    <row r="34" spans="2:11" x14ac:dyDescent="0.35">
      <c r="B34" s="28"/>
      <c r="C34" s="28"/>
      <c r="D34" s="29"/>
      <c r="E34" s="29"/>
      <c r="F34" s="29"/>
      <c r="G34" s="29"/>
      <c r="H34" s="29"/>
      <c r="I34" s="29"/>
    </row>
    <row r="36" spans="2:11" x14ac:dyDescent="0.35">
      <c r="B36" s="15" t="s">
        <v>71</v>
      </c>
      <c r="C36" s="15"/>
      <c r="D36" s="15"/>
      <c r="E36" s="15"/>
      <c r="F36" s="15"/>
      <c r="G36" s="15"/>
      <c r="H36" s="15"/>
      <c r="I36" s="15"/>
    </row>
    <row r="37" spans="2:11" x14ac:dyDescent="0.35">
      <c r="B37" s="14" t="s">
        <v>72</v>
      </c>
      <c r="C37" s="14"/>
      <c r="D37" s="14"/>
      <c r="E37" s="14"/>
      <c r="F37" s="14"/>
      <c r="G37" s="14"/>
      <c r="H37" s="14"/>
      <c r="I37" s="14"/>
    </row>
    <row r="38" spans="2:11" x14ac:dyDescent="0.35">
      <c r="B38" s="14"/>
      <c r="C38" s="14"/>
      <c r="D38" s="14"/>
      <c r="E38" s="14"/>
      <c r="F38" s="14"/>
      <c r="G38" s="14"/>
      <c r="H38" s="14"/>
      <c r="I38" s="14"/>
    </row>
    <row r="39" spans="2:11" x14ac:dyDescent="0.35">
      <c r="B39" s="14"/>
      <c r="C39" s="14"/>
      <c r="D39" s="14"/>
      <c r="E39" s="14"/>
      <c r="F39" s="14"/>
      <c r="G39" s="14"/>
      <c r="H39" s="14"/>
      <c r="I39" s="14"/>
      <c r="K39" s="1"/>
    </row>
    <row r="41" spans="2:11" x14ac:dyDescent="0.35">
      <c r="E41" s="16" t="s">
        <v>73</v>
      </c>
      <c r="F41" s="16"/>
      <c r="G41" s="6" t="s">
        <v>74</v>
      </c>
    </row>
    <row r="42" spans="2:11" x14ac:dyDescent="0.35">
      <c r="E42" s="16">
        <v>1</v>
      </c>
      <c r="F42" s="16"/>
      <c r="G42" s="6">
        <v>15</v>
      </c>
    </row>
    <row r="43" spans="2:11" x14ac:dyDescent="0.35">
      <c r="E43" s="16">
        <v>2</v>
      </c>
      <c r="F43" s="16"/>
      <c r="G43" s="6">
        <v>17</v>
      </c>
    </row>
    <row r="44" spans="2:11" x14ac:dyDescent="0.35">
      <c r="E44" s="16">
        <v>3</v>
      </c>
      <c r="F44" s="16"/>
      <c r="G44" s="6">
        <v>18</v>
      </c>
    </row>
    <row r="45" spans="2:11" x14ac:dyDescent="0.35">
      <c r="E45" s="16">
        <v>4</v>
      </c>
      <c r="F45" s="16"/>
      <c r="G45" s="6">
        <v>19</v>
      </c>
    </row>
    <row r="46" spans="2:11" x14ac:dyDescent="0.35">
      <c r="E46" s="16">
        <v>5</v>
      </c>
      <c r="F46" s="16"/>
      <c r="G46" s="6">
        <v>20</v>
      </c>
    </row>
    <row r="47" spans="2:11" x14ac:dyDescent="0.35">
      <c r="E47" s="16">
        <v>6</v>
      </c>
      <c r="F47" s="16"/>
      <c r="G47" s="6">
        <v>21</v>
      </c>
    </row>
    <row r="48" spans="2:11" x14ac:dyDescent="0.35">
      <c r="E48" s="16">
        <v>7</v>
      </c>
      <c r="F48" s="16"/>
      <c r="G48" s="6">
        <v>22</v>
      </c>
    </row>
    <row r="49" spans="2:9" x14ac:dyDescent="0.35">
      <c r="E49" s="16">
        <v>8</v>
      </c>
      <c r="F49" s="16"/>
      <c r="G49" s="6">
        <v>25</v>
      </c>
    </row>
    <row r="50" spans="2:9" x14ac:dyDescent="0.35">
      <c r="E50" s="16"/>
      <c r="F50" s="16"/>
      <c r="G50" s="6">
        <f>SUM(G42:G49)</f>
        <v>157</v>
      </c>
    </row>
    <row r="52" spans="2:9" x14ac:dyDescent="0.35">
      <c r="B52" s="6" t="s">
        <v>11</v>
      </c>
      <c r="C52" s="51">
        <f>G50/8</f>
        <v>19.625</v>
      </c>
      <c r="G52" s="44">
        <f>_xlfn.STDEV.P(G42:G49)</f>
        <v>2.912795049432761</v>
      </c>
    </row>
    <row r="53" spans="2:9" x14ac:dyDescent="0.35">
      <c r="B53" s="6" t="s">
        <v>11</v>
      </c>
      <c r="C53" s="6" t="s">
        <v>76</v>
      </c>
    </row>
    <row r="55" spans="2:9" x14ac:dyDescent="0.35">
      <c r="B55" s="28" t="s">
        <v>22</v>
      </c>
      <c r="C55" s="28"/>
      <c r="D55" s="29" t="s">
        <v>77</v>
      </c>
      <c r="E55" s="29"/>
      <c r="F55" s="29"/>
      <c r="G55" s="29"/>
      <c r="H55" s="29"/>
      <c r="I55" s="29"/>
    </row>
    <row r="56" spans="2:9" x14ac:dyDescent="0.35">
      <c r="B56" s="28"/>
      <c r="C56" s="28"/>
      <c r="D56" s="29"/>
      <c r="E56" s="29"/>
      <c r="F56" s="29"/>
      <c r="G56" s="29"/>
      <c r="H56" s="29"/>
      <c r="I56" s="29"/>
    </row>
    <row r="59" spans="2:9" ht="21" customHeight="1" x14ac:dyDescent="0.35">
      <c r="B59" s="47" t="s">
        <v>12</v>
      </c>
      <c r="C59" s="47"/>
      <c r="D59" s="48" t="s">
        <v>78</v>
      </c>
      <c r="E59" s="48"/>
      <c r="F59" s="48"/>
      <c r="G59" s="48"/>
      <c r="H59" s="48"/>
      <c r="I59" s="48"/>
    </row>
    <row r="60" spans="2:9" x14ac:dyDescent="0.35">
      <c r="B60" s="47"/>
      <c r="C60" s="47"/>
      <c r="D60" s="48"/>
      <c r="E60" s="48"/>
      <c r="F60" s="48"/>
      <c r="G60" s="48"/>
      <c r="H60" s="48"/>
      <c r="I60" s="48"/>
    </row>
    <row r="62" spans="2:9" x14ac:dyDescent="0.35">
      <c r="B62" s="5" t="s">
        <v>75</v>
      </c>
      <c r="C62" s="5" t="s">
        <v>79</v>
      </c>
      <c r="D62" s="5">
        <f>39/2</f>
        <v>19.5</v>
      </c>
      <c r="E62" s="5" t="s">
        <v>81</v>
      </c>
    </row>
    <row r="64" spans="2:9" x14ac:dyDescent="0.35">
      <c r="B64" t="s">
        <v>12</v>
      </c>
      <c r="C64" s="10">
        <v>19.5</v>
      </c>
    </row>
    <row r="66" spans="2:9" x14ac:dyDescent="0.35">
      <c r="B66" s="28" t="s">
        <v>22</v>
      </c>
      <c r="C66" s="28"/>
      <c r="D66" s="29" t="s">
        <v>80</v>
      </c>
      <c r="E66" s="29"/>
      <c r="F66" s="29"/>
      <c r="G66" s="29"/>
      <c r="H66" s="29"/>
      <c r="I66" s="29"/>
    </row>
    <row r="67" spans="2:9" x14ac:dyDescent="0.35">
      <c r="B67" s="28"/>
      <c r="C67" s="28"/>
      <c r="D67" s="29"/>
      <c r="E67" s="29"/>
      <c r="F67" s="29"/>
      <c r="G67" s="29"/>
      <c r="H67" s="29"/>
      <c r="I67" s="29"/>
    </row>
    <row r="69" spans="2:9" x14ac:dyDescent="0.35">
      <c r="B69" s="49" t="s">
        <v>38</v>
      </c>
      <c r="C69" s="49"/>
    </row>
    <row r="70" spans="2:9" x14ac:dyDescent="0.35">
      <c r="B70" s="49"/>
      <c r="C70" s="49"/>
    </row>
    <row r="72" spans="2:9" x14ac:dyDescent="0.35">
      <c r="C72" s="32" t="s">
        <v>44</v>
      </c>
      <c r="D72" s="32"/>
      <c r="E72" s="32"/>
      <c r="F72" s="32"/>
    </row>
    <row r="74" spans="2:9" x14ac:dyDescent="0.35">
      <c r="C74" t="s">
        <v>82</v>
      </c>
      <c r="D74">
        <f>25-15</f>
        <v>10</v>
      </c>
    </row>
    <row r="76" spans="2:9" x14ac:dyDescent="0.35">
      <c r="B76" t="s">
        <v>38</v>
      </c>
      <c r="C76">
        <v>10</v>
      </c>
    </row>
    <row r="78" spans="2:9" x14ac:dyDescent="0.35">
      <c r="B78" s="28" t="s">
        <v>22</v>
      </c>
      <c r="C78" s="28"/>
      <c r="D78" s="29" t="s">
        <v>83</v>
      </c>
      <c r="E78" s="29"/>
      <c r="F78" s="29"/>
      <c r="G78" s="29"/>
      <c r="H78" s="29"/>
      <c r="I78" s="29"/>
    </row>
    <row r="79" spans="2:9" x14ac:dyDescent="0.35">
      <c r="B79" s="28"/>
      <c r="C79" s="28"/>
      <c r="D79" s="29"/>
      <c r="E79" s="29"/>
      <c r="F79" s="29"/>
      <c r="G79" s="29"/>
      <c r="H79" s="29"/>
      <c r="I79" s="29"/>
    </row>
    <row r="82" spans="2:9" ht="16" x14ac:dyDescent="0.4">
      <c r="B82" s="50" t="s">
        <v>13</v>
      </c>
      <c r="C82" s="50" t="s">
        <v>84</v>
      </c>
    </row>
    <row r="84" spans="2:9" x14ac:dyDescent="0.35">
      <c r="B84" s="28" t="s">
        <v>22</v>
      </c>
      <c r="C84" s="28"/>
      <c r="D84" s="29" t="s">
        <v>85</v>
      </c>
      <c r="E84" s="29"/>
      <c r="F84" s="29"/>
      <c r="G84" s="29"/>
      <c r="H84" s="29"/>
      <c r="I84" s="29"/>
    </row>
    <row r="85" spans="2:9" x14ac:dyDescent="0.35">
      <c r="B85" s="28"/>
      <c r="C85" s="28"/>
      <c r="D85" s="29"/>
      <c r="E85" s="29"/>
      <c r="F85" s="29"/>
      <c r="G85" s="29"/>
      <c r="H85" s="29"/>
      <c r="I85" s="29"/>
    </row>
    <row r="87" spans="2:9" x14ac:dyDescent="0.35">
      <c r="B87" s="2" t="s">
        <v>86</v>
      </c>
      <c r="C87" s="2"/>
      <c r="D87" s="44">
        <f>_xlfn.STDEV.P(G42:G49)</f>
        <v>2.912795049432761</v>
      </c>
    </row>
    <row r="89" spans="2:9" x14ac:dyDescent="0.35">
      <c r="B89" t="s">
        <v>87</v>
      </c>
    </row>
    <row r="90" spans="2:9" x14ac:dyDescent="0.35">
      <c r="B90" t="s">
        <v>88</v>
      </c>
    </row>
    <row r="91" spans="2:9" x14ac:dyDescent="0.35">
      <c r="B91" t="s">
        <v>89</v>
      </c>
    </row>
    <row r="92" spans="2:9" x14ac:dyDescent="0.35">
      <c r="B92" t="s">
        <v>90</v>
      </c>
    </row>
    <row r="93" spans="2:9" x14ac:dyDescent="0.35">
      <c r="B93" t="s">
        <v>91</v>
      </c>
    </row>
  </sheetData>
  <mergeCells count="42">
    <mergeCell ref="B84:C85"/>
    <mergeCell ref="D84:I85"/>
    <mergeCell ref="B87:C87"/>
    <mergeCell ref="B1:D2"/>
    <mergeCell ref="B66:C67"/>
    <mergeCell ref="D66:I67"/>
    <mergeCell ref="B69:C70"/>
    <mergeCell ref="C72:F72"/>
    <mergeCell ref="B78:C79"/>
    <mergeCell ref="D78:I79"/>
    <mergeCell ref="E49:F49"/>
    <mergeCell ref="E50:F50"/>
    <mergeCell ref="B55:C56"/>
    <mergeCell ref="D55:I56"/>
    <mergeCell ref="D59:I60"/>
    <mergeCell ref="B59:C60"/>
    <mergeCell ref="E43:F43"/>
    <mergeCell ref="E44:F44"/>
    <mergeCell ref="E45:F45"/>
    <mergeCell ref="E46:F46"/>
    <mergeCell ref="E47:F47"/>
    <mergeCell ref="E48:F48"/>
    <mergeCell ref="B33:C34"/>
    <mergeCell ref="D33:I34"/>
    <mergeCell ref="B37:I39"/>
    <mergeCell ref="B36:I36"/>
    <mergeCell ref="E41:F41"/>
    <mergeCell ref="E42:F42"/>
    <mergeCell ref="B29:C29"/>
    <mergeCell ref="B28:C28"/>
    <mergeCell ref="B30:C30"/>
    <mergeCell ref="D30:E30"/>
    <mergeCell ref="B15:I15"/>
    <mergeCell ref="B16:I16"/>
    <mergeCell ref="B17:I18"/>
    <mergeCell ref="B4:I4"/>
    <mergeCell ref="B6:I6"/>
    <mergeCell ref="B7:I7"/>
    <mergeCell ref="B8:I8"/>
    <mergeCell ref="B10:C10"/>
    <mergeCell ref="B12:C13"/>
    <mergeCell ref="D12:I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Easy Level</vt:lpstr>
      <vt:lpstr>Medium Level</vt:lpstr>
      <vt:lpstr>Hard Level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Yadav</dc:creator>
  <cp:lastModifiedBy>Ram Yadav</cp:lastModifiedBy>
  <dcterms:created xsi:type="dcterms:W3CDTF">2026-01-27T16:18:55Z</dcterms:created>
  <dcterms:modified xsi:type="dcterms:W3CDTF">2026-01-27T19:54:06Z</dcterms:modified>
</cp:coreProperties>
</file>
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isk E\ISC bhotik sagar\excel\PW Assisment files\"/>
    </mc:Choice>
  </mc:AlternateContent>
  <xr:revisionPtr revIDLastSave="0" documentId="8_{227BEDFD-3132-4553-9275-C4E20596C18D}" xr6:coauthVersionLast="47" xr6:coauthVersionMax="47" xr10:uidLastSave="{00000000-0000-0000-0000-000000000000}"/>
  <bookViews>
    <workbookView xWindow="-110" yWindow="-110" windowWidth="19420" windowHeight="10300" activeTab="7" xr2:uid="{2F4A75FB-969D-453F-AA94-7025C86443F4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9" sheetId="8" r:id="rId8"/>
  </sheets>
  <definedNames>
    <definedName name="_xlnm._FilterDatabase" localSheetId="3" hidden="1">'q4'!$B$14:$D$15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8" l="1"/>
  <c r="C13" i="7"/>
  <c r="E16" i="6"/>
  <c r="E17" i="6"/>
  <c r="E18" i="6"/>
  <c r="C15" i="5"/>
  <c r="C15" i="4"/>
  <c r="D15" i="4" s="1"/>
  <c r="D9" i="3" l="1" a="1"/>
  <c r="D9" i="3"/>
  <c r="D10" i="3" a="1"/>
  <c r="D10" i="3" s="1"/>
  <c r="D11" i="3" a="1"/>
  <c r="D11" i="3" s="1"/>
  <c r="D12" i="3" a="1"/>
  <c r="D12" i="3" s="1"/>
  <c r="D8" i="3" a="1"/>
  <c r="D8" i="3" s="1"/>
  <c r="E8" i="2"/>
  <c r="E9" i="2"/>
  <c r="E10" i="2"/>
  <c r="E7" i="2"/>
  <c r="E13" i="1" l="1" a="1"/>
  <c r="E13" i="1" s="1"/>
  <c r="E14" i="1" a="1"/>
  <c r="E14" i="1" s="1"/>
  <c r="E15" i="1" a="1"/>
  <c r="E15" i="1" s="1"/>
  <c r="E16" i="1" a="1"/>
  <c r="E16" i="1" s="1"/>
  <c r="E12" i="1" a="1"/>
  <c r="E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<sst xmlns="http://schemas.openxmlformats.org/spreadsheetml/2006/main" count="111" uniqueCount="71">
  <si>
    <t>Q1,Write a formula to check if the marks in cell are greater than or equal to 40. If yes, return B2 "Fail" .</t>
  </si>
  <si>
    <t>Marks</t>
  </si>
  <si>
    <t>Student Name</t>
  </si>
  <si>
    <t>Riya</t>
  </si>
  <si>
    <t>Siya</t>
  </si>
  <si>
    <t>Raju</t>
  </si>
  <si>
    <t>Rahul</t>
  </si>
  <si>
    <t>Ram</t>
  </si>
  <si>
    <t>Result</t>
  </si>
  <si>
    <t>Q2,company gives a bonus  if sales are above 40,000 and attendance is greater than or equal to 90%. Write a formula to calculate whether the employee will get a bonus or not .</t>
  </si>
  <si>
    <t>Employee</t>
  </si>
  <si>
    <t xml:space="preserve">Sales </t>
  </si>
  <si>
    <t>Attendence</t>
  </si>
  <si>
    <t>Arjun</t>
  </si>
  <si>
    <t>Simran</t>
  </si>
  <si>
    <t>Rohit</t>
  </si>
  <si>
    <t>Anjali</t>
  </si>
  <si>
    <t>Bonus</t>
  </si>
  <si>
    <t>Q3,Write a nested IF formula:</t>
  </si>
  <si>
    <t xml:space="preserve">Student Name </t>
  </si>
  <si>
    <t>marks</t>
  </si>
  <si>
    <t>Raj</t>
  </si>
  <si>
    <t>Neha</t>
  </si>
  <si>
    <t>Vivek</t>
  </si>
  <si>
    <t>Rani</t>
  </si>
  <si>
    <t>sneha</t>
  </si>
  <si>
    <t>If marks are B2 are &gt;90-&gt;"A",_&gt;75-&gt;"B",_&gt;50-&gt;"c", otherwise"Fail".</t>
  </si>
  <si>
    <t>Q4,Find the Department of Employee ID = E103. Also explain which LOOKUP function is used and why?</t>
  </si>
  <si>
    <t>EmpID</t>
  </si>
  <si>
    <t>Name</t>
  </si>
  <si>
    <t>Department</t>
  </si>
  <si>
    <t>E101</t>
  </si>
  <si>
    <t>E102</t>
  </si>
  <si>
    <t>E103</t>
  </si>
  <si>
    <t>E104</t>
  </si>
  <si>
    <t>Roshni</t>
  </si>
  <si>
    <t>Sejal</t>
  </si>
  <si>
    <t>IT</t>
  </si>
  <si>
    <t>HR</t>
  </si>
  <si>
    <t>Finance</t>
  </si>
  <si>
    <t>Sales</t>
  </si>
  <si>
    <r>
      <rPr>
        <b/>
        <sz val="22"/>
        <color theme="4"/>
        <rFont val="Aptos Narrow"/>
        <family val="2"/>
        <scheme val="minor"/>
      </rPr>
      <t>VLOOKUP</t>
    </r>
    <r>
      <rPr>
        <sz val="11"/>
        <color theme="1"/>
        <rFont val="Aptos Narrow"/>
        <family val="2"/>
        <scheme val="minor"/>
      </rPr>
      <t xml:space="preserve"> </t>
    </r>
    <r>
      <rPr>
        <b/>
        <u/>
        <sz val="11"/>
        <color theme="1"/>
        <rFont val="Aptos Narrow"/>
        <family val="2"/>
        <scheme val="minor"/>
      </rPr>
      <t>is used because the Employee ID is in the first column and the data is arranged vertically, so it helps to find the corresponding Department easily.</t>
    </r>
  </si>
  <si>
    <t>Q5,company has set the following commission structure for its sales team:</t>
  </si>
  <si>
    <t>Sales Amount</t>
  </si>
  <si>
    <t>Commission Rate</t>
  </si>
  <si>
    <t>If a salesperson achieves sales of ₹45,000, use the VLOOKUP function to determine the commission rate applicable.</t>
  </si>
  <si>
    <t>Q6,The HR department maintains the following leave records of employees:onus or not .</t>
  </si>
  <si>
    <t>Employee Name</t>
  </si>
  <si>
    <t>Leaves Taken</t>
  </si>
  <si>
    <t>Leaves Allowed</t>
  </si>
  <si>
    <t>Alex</t>
  </si>
  <si>
    <t>Bob</t>
  </si>
  <si>
    <t>Anna</t>
  </si>
  <si>
    <t>Write an IF function to check whether an employee has Exceeded their allowed leave balance. If Leaves Taken &gt; Allowed Leaves, display "Exceeded". Otherwise, display "OK"</t>
  </si>
  <si>
    <t>Answer</t>
  </si>
  <si>
    <t>Q7,Find the salary of EmpID = E105 using INDEX-MATCH Function.</t>
  </si>
  <si>
    <t>Salary</t>
  </si>
  <si>
    <t>E105</t>
  </si>
  <si>
    <t>E106</t>
  </si>
  <si>
    <t>INDEX(C5:C9, MATCH(B13, B5:B9, 0))</t>
  </si>
  <si>
    <t>Q9,Use the XLOOKUP function to find the Department of the employee with Emp ID = E303.</t>
  </si>
  <si>
    <t>E303</t>
  </si>
  <si>
    <t>E301</t>
  </si>
  <si>
    <t>Logical Functions &amp; Lookup</t>
  </si>
  <si>
    <t>IFS(D12&gt;=40,"PASS",D12&lt;40,"FAIL")</t>
  </si>
  <si>
    <t>IF(AND(C7&gt;40000,D7&gt;=90),"Bonus","No Bonus")</t>
  </si>
  <si>
    <t>IFS(C8&gt;=90,"A",C8&gt;=75,"B",C8&gt;=50,"C",C8&lt;50,"Fail")</t>
  </si>
  <si>
    <t>VLOOKUP(B15,B$7:D$10,2,)</t>
  </si>
  <si>
    <t>VLOOKUP(B15,B6:C9,2,TRUE)</t>
  </si>
  <si>
    <t>IF(C16&gt;D16,"Exceeded","ok")</t>
  </si>
  <si>
    <t>XLOOKUP(C14,C7:C10,D7:D10)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</si>
</sst>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theme="4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28"/>
      <color theme="5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9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0" fontId="0" fillId="0" borderId="1" xfId="0" applyNumberFormat="1" applyBorder="1"/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 wrapText="1"/>
    </xf>
    <xf numFmtId="0" fontId="0" fillId="3" borderId="1" xfId="0" applyFill="1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49" fontId="0" fillId="0" borderId="1" xfId="0" applyNumberFormat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E168-E10E-4A00-8B4F-B9D405E6ADDE}">
  <dimension ref="A1:K18"/>
  <sheetViews>
    <sheetView workbookViewId="0">
      <selection activeCell="I19" sqref="I19"/>
    </sheetView>
  </sheetViews>
  <sheetFormatPr defaultRowHeight="14.5" x14ac:dyDescent="0.35"/>
  <cols>
    <col min="3" max="3" width="13.26953125" bestFit="1" customWidth="1"/>
  </cols>
  <sheetData>
    <row r="1" spans="2:11" x14ac:dyDescent="0.35">
      <c r="B1" s="25" t="s">
        <v>63</v>
      </c>
      <c r="C1" s="25"/>
      <c r="D1" s="25"/>
      <c r="E1" s="25"/>
      <c r="F1" s="25"/>
      <c r="G1" s="25"/>
      <c r="H1" s="25"/>
      <c r="I1" s="25"/>
      <c r="J1" s="25"/>
    </row>
    <row r="2" spans="2:11" x14ac:dyDescent="0.35">
      <c r="B2" s="25"/>
      <c r="C2" s="25"/>
      <c r="D2" s="25"/>
      <c r="E2" s="25"/>
      <c r="F2" s="25"/>
      <c r="G2" s="25"/>
      <c r="H2" s="25"/>
      <c r="I2" s="25"/>
      <c r="J2" s="25"/>
    </row>
    <row r="3" spans="2:11" x14ac:dyDescent="0.35">
      <c r="B3" s="25"/>
      <c r="C3" s="25"/>
      <c r="D3" s="25"/>
      <c r="E3" s="25"/>
      <c r="F3" s="25"/>
      <c r="G3" s="25"/>
      <c r="H3" s="25"/>
      <c r="I3" s="25"/>
      <c r="J3" s="25"/>
    </row>
    <row r="4" spans="2:11" x14ac:dyDescent="0.35">
      <c r="B4" s="25"/>
      <c r="C4" s="25"/>
      <c r="D4" s="25"/>
      <c r="E4" s="25"/>
      <c r="F4" s="25"/>
      <c r="G4" s="25"/>
      <c r="H4" s="25"/>
      <c r="I4" s="25"/>
      <c r="J4" s="25"/>
    </row>
    <row r="5" spans="2:11" x14ac:dyDescent="0.35">
      <c r="B5" s="25"/>
      <c r="C5" s="25"/>
      <c r="D5" s="25"/>
      <c r="E5" s="25"/>
      <c r="F5" s="25"/>
      <c r="G5" s="25"/>
      <c r="H5" s="25"/>
      <c r="I5" s="25"/>
      <c r="J5" s="25"/>
    </row>
    <row r="6" spans="2:11" x14ac:dyDescent="0.35">
      <c r="B6" s="25"/>
      <c r="C6" s="25"/>
      <c r="D6" s="25"/>
      <c r="E6" s="25"/>
      <c r="F6" s="25"/>
      <c r="G6" s="25"/>
      <c r="H6" s="25"/>
      <c r="I6" s="25"/>
      <c r="J6" s="25"/>
    </row>
    <row r="8" spans="2:11" x14ac:dyDescent="0.35">
      <c r="B8" s="12" t="s">
        <v>0</v>
      </c>
      <c r="C8" s="12"/>
      <c r="D8" s="12"/>
      <c r="E8" s="12"/>
      <c r="F8" s="12"/>
      <c r="G8" s="12"/>
      <c r="H8" s="12"/>
      <c r="I8" s="12"/>
      <c r="J8" s="12"/>
      <c r="K8" s="12"/>
    </row>
    <row r="11" spans="2:11" x14ac:dyDescent="0.35">
      <c r="C11" s="9" t="s">
        <v>2</v>
      </c>
      <c r="D11" s="9" t="s">
        <v>1</v>
      </c>
      <c r="E11" s="9" t="s">
        <v>8</v>
      </c>
    </row>
    <row r="12" spans="2:11" x14ac:dyDescent="0.35">
      <c r="C12" s="1" t="s">
        <v>3</v>
      </c>
      <c r="D12" s="1">
        <v>45</v>
      </c>
      <c r="E12" s="1" t="str" cm="1">
        <f t="array" ref="E12">_xlfn.IFS(D12&gt;=40,"PASS",D12&lt;40,"FAIL")</f>
        <v>PASS</v>
      </c>
    </row>
    <row r="13" spans="2:11" x14ac:dyDescent="0.35">
      <c r="C13" s="1" t="s">
        <v>4</v>
      </c>
      <c r="D13" s="1">
        <v>72</v>
      </c>
      <c r="E13" s="1" t="str" cm="1">
        <f t="array" ref="E13">_xlfn.IFS(D13&gt;=40,"PASS",D13&lt;40,"FAIL")</f>
        <v>PASS</v>
      </c>
    </row>
    <row r="14" spans="2:11" x14ac:dyDescent="0.35">
      <c r="C14" s="1" t="s">
        <v>5</v>
      </c>
      <c r="D14" s="1">
        <v>55</v>
      </c>
      <c r="E14" s="1" t="str" cm="1">
        <f t="array" ref="E14">_xlfn.IFS(D14&gt;=40,"PASS",D14&lt;40,"FAIL")</f>
        <v>PASS</v>
      </c>
    </row>
    <row r="15" spans="2:11" x14ac:dyDescent="0.35">
      <c r="C15" s="1" t="s">
        <v>6</v>
      </c>
      <c r="D15" s="1">
        <v>80</v>
      </c>
      <c r="E15" s="1" t="str" cm="1">
        <f t="array" ref="E15">_xlfn.IFS(D15&gt;=40,"PASS",D15&lt;40,"FAIL")</f>
        <v>PASS</v>
      </c>
    </row>
    <row r="16" spans="2:11" x14ac:dyDescent="0.35">
      <c r="C16" s="1" t="s">
        <v>7</v>
      </c>
      <c r="D16" s="1">
        <v>30</v>
      </c>
      <c r="E16" s="1" t="str" cm="1">
        <f t="array" ref="E16">_xlfn.IFS(D16&gt;=40,"PASS",D16&lt;40,"FAIL")</f>
        <v>FAIL</v>
      </c>
    </row>
    <row r="18" spans="1:4" x14ac:dyDescent="0.35">
      <c r="A18" t="s">
        <v>54</v>
      </c>
      <c r="B18" s="26" t="s">
        <v>64</v>
      </c>
      <c r="C18" s="26"/>
      <c r="D18" s="26"/>
    </row>
  </sheetData>
  <mergeCells count="3">
    <mergeCell ref="B8:K8"/>
    <mergeCell ref="B1:J6"/>
    <mergeCell ref="B18:D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F698E-3BE6-499A-9E2C-1F76C62693CE}">
  <dimension ref="A2:K12"/>
  <sheetViews>
    <sheetView workbookViewId="0">
      <selection activeCell="I14" sqref="I14"/>
    </sheetView>
  </sheetViews>
  <sheetFormatPr defaultRowHeight="14.5" x14ac:dyDescent="0.35"/>
  <cols>
    <col min="4" max="4" width="10.1796875" bestFit="1" customWidth="1"/>
  </cols>
  <sheetData>
    <row r="2" spans="1:11" x14ac:dyDescent="0.35">
      <c r="B2" s="13" t="s">
        <v>9</v>
      </c>
      <c r="C2" s="13"/>
      <c r="D2" s="13"/>
      <c r="E2" s="13"/>
      <c r="F2" s="13"/>
      <c r="G2" s="13"/>
      <c r="H2" s="13"/>
      <c r="I2" s="13"/>
      <c r="J2" s="13"/>
      <c r="K2" s="13"/>
    </row>
    <row r="3" spans="1:11" x14ac:dyDescent="0.35"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x14ac:dyDescent="0.35">
      <c r="B4" s="13"/>
      <c r="C4" s="13"/>
      <c r="D4" s="13"/>
      <c r="E4" s="13"/>
      <c r="F4" s="13"/>
      <c r="G4" s="13"/>
      <c r="H4" s="13"/>
      <c r="I4" s="13"/>
      <c r="J4" s="13"/>
      <c r="K4" s="13"/>
    </row>
    <row r="6" spans="1:11" x14ac:dyDescent="0.35">
      <c r="B6" s="8" t="s">
        <v>10</v>
      </c>
      <c r="C6" s="8" t="s">
        <v>11</v>
      </c>
      <c r="D6" s="8" t="s">
        <v>12</v>
      </c>
      <c r="E6" s="8" t="s">
        <v>17</v>
      </c>
    </row>
    <row r="7" spans="1:11" x14ac:dyDescent="0.35">
      <c r="B7" s="2" t="s">
        <v>13</v>
      </c>
      <c r="C7" s="2">
        <v>55000</v>
      </c>
      <c r="D7" s="2">
        <v>95</v>
      </c>
      <c r="E7" s="2" t="str">
        <f>IF(AND(C7&gt;40000,D7&gt;=90),"Bonus","No Bonus")</f>
        <v>Bonus</v>
      </c>
    </row>
    <row r="8" spans="1:11" x14ac:dyDescent="0.35">
      <c r="B8" s="2" t="s">
        <v>14</v>
      </c>
      <c r="C8" s="2">
        <v>65000</v>
      </c>
      <c r="D8" s="2">
        <v>85</v>
      </c>
      <c r="E8" s="2" t="str">
        <f t="shared" ref="E8:E10" si="0">IF(AND(C8&gt;40000,D8&gt;=90),"Bonus","No Bonus")</f>
        <v>No Bonus</v>
      </c>
    </row>
    <row r="9" spans="1:11" x14ac:dyDescent="0.35">
      <c r="B9" s="2" t="s">
        <v>15</v>
      </c>
      <c r="C9" s="2">
        <v>30000</v>
      </c>
      <c r="D9" s="2">
        <v>90</v>
      </c>
      <c r="E9" s="2" t="str">
        <f t="shared" si="0"/>
        <v>No Bonus</v>
      </c>
    </row>
    <row r="10" spans="1:11" x14ac:dyDescent="0.35">
      <c r="B10" s="2" t="s">
        <v>16</v>
      </c>
      <c r="C10" s="2">
        <v>25000</v>
      </c>
      <c r="D10" s="2">
        <v>65</v>
      </c>
      <c r="E10" s="2" t="str">
        <f t="shared" si="0"/>
        <v>No Bonus</v>
      </c>
    </row>
    <row r="12" spans="1:11" x14ac:dyDescent="0.35">
      <c r="A12" t="s">
        <v>54</v>
      </c>
      <c r="B12" s="23" t="s">
        <v>65</v>
      </c>
      <c r="C12" s="23"/>
      <c r="D12" s="23"/>
      <c r="E12" s="23"/>
      <c r="F12" s="23"/>
    </row>
  </sheetData>
  <mergeCells count="2">
    <mergeCell ref="B2:K4"/>
    <mergeCell ref="B12:F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4AB4-97CE-445D-9FCF-1D94C6A731BB}">
  <dimension ref="A4:G15"/>
  <sheetViews>
    <sheetView workbookViewId="0">
      <selection activeCell="A15" sqref="A15"/>
    </sheetView>
  </sheetViews>
  <sheetFormatPr defaultRowHeight="14.5" x14ac:dyDescent="0.35"/>
  <cols>
    <col min="2" max="2" width="12.6328125" bestFit="1" customWidth="1"/>
  </cols>
  <sheetData>
    <row r="4" spans="1:7" x14ac:dyDescent="0.35">
      <c r="B4" s="14" t="s">
        <v>18</v>
      </c>
      <c r="C4" s="15"/>
      <c r="D4" s="15"/>
      <c r="E4" s="15"/>
      <c r="F4" s="15"/>
      <c r="G4" s="16"/>
    </row>
    <row r="5" spans="1:7" x14ac:dyDescent="0.35">
      <c r="B5" s="14" t="s">
        <v>26</v>
      </c>
      <c r="C5" s="15"/>
      <c r="D5" s="15"/>
      <c r="E5" s="15"/>
      <c r="F5" s="15"/>
      <c r="G5" s="16"/>
    </row>
    <row r="7" spans="1:7" x14ac:dyDescent="0.35">
      <c r="B7" s="8" t="s">
        <v>19</v>
      </c>
      <c r="C7" s="8" t="s">
        <v>20</v>
      </c>
      <c r="D7" s="8" t="s">
        <v>8</v>
      </c>
    </row>
    <row r="8" spans="1:7" x14ac:dyDescent="0.35">
      <c r="B8" s="2" t="s">
        <v>21</v>
      </c>
      <c r="C8" s="2">
        <v>85</v>
      </c>
      <c r="D8" s="2" t="str" cm="1">
        <f t="array" ref="D8">_xlfn.IFS(C8&gt;=90,"A",C8&gt;=75,"B",C8&gt;=50,"C",C8&lt;50,"Fail")</f>
        <v>B</v>
      </c>
    </row>
    <row r="9" spans="1:7" x14ac:dyDescent="0.35">
      <c r="B9" s="2" t="s">
        <v>22</v>
      </c>
      <c r="C9" s="2">
        <v>96</v>
      </c>
      <c r="D9" s="2" t="str" cm="1">
        <f t="array" ref="D9">_xlfn.IFS(C9&gt;=90,"A",C9&gt;=75,"B",C9&gt;=50,"C",C9&lt;50,"Fail")</f>
        <v>A</v>
      </c>
    </row>
    <row r="10" spans="1:7" x14ac:dyDescent="0.35">
      <c r="B10" s="2" t="s">
        <v>23</v>
      </c>
      <c r="C10" s="2">
        <v>57</v>
      </c>
      <c r="D10" s="2" t="str" cm="1">
        <f t="array" ref="D10">_xlfn.IFS(C10&gt;=90,"A",C10&gt;=75,"B",C10&gt;=50,"C",C10&lt;50,"Fail")</f>
        <v>C</v>
      </c>
    </row>
    <row r="11" spans="1:7" x14ac:dyDescent="0.35">
      <c r="B11" s="2" t="s">
        <v>24</v>
      </c>
      <c r="C11" s="2">
        <v>92</v>
      </c>
      <c r="D11" s="2" t="str" cm="1">
        <f t="array" ref="D11">_xlfn.IFS(C11&gt;=90,"A",C11&gt;=75,"B",C11&gt;=50,"C",C11&lt;50,"Fail")</f>
        <v>A</v>
      </c>
    </row>
    <row r="12" spans="1:7" x14ac:dyDescent="0.35">
      <c r="B12" s="2" t="s">
        <v>25</v>
      </c>
      <c r="C12" s="2">
        <v>75</v>
      </c>
      <c r="D12" s="2" t="str" cm="1">
        <f t="array" ref="D12">_xlfn.IFS(C12&gt;=90,"A",C12&gt;=75,"B",C12&gt;=50,"C",C12&lt;50,"Fail")</f>
        <v>B</v>
      </c>
    </row>
    <row r="15" spans="1:7" x14ac:dyDescent="0.35">
      <c r="A15" t="s">
        <v>54</v>
      </c>
      <c r="B15" s="23" t="s">
        <v>66</v>
      </c>
      <c r="C15" s="23"/>
      <c r="D15" s="23"/>
      <c r="E15" s="23"/>
      <c r="F15" s="23"/>
    </row>
  </sheetData>
  <mergeCells count="3">
    <mergeCell ref="B5:G5"/>
    <mergeCell ref="B4:G4"/>
    <mergeCell ref="B15:F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74EC-9CB2-4C40-BCB9-367224CDF72B}">
  <dimension ref="A3:K17"/>
  <sheetViews>
    <sheetView workbookViewId="0">
      <selection activeCell="I13" sqref="I13"/>
    </sheetView>
  </sheetViews>
  <sheetFormatPr defaultRowHeight="14.5" x14ac:dyDescent="0.35"/>
  <cols>
    <col min="4" max="5" width="10.54296875" bestFit="1" customWidth="1"/>
  </cols>
  <sheetData>
    <row r="3" spans="2:11" x14ac:dyDescent="0.35">
      <c r="B3" s="17" t="s">
        <v>27</v>
      </c>
      <c r="C3" s="17"/>
      <c r="D3" s="17"/>
      <c r="E3" s="17"/>
      <c r="F3" s="17"/>
      <c r="G3" s="17"/>
      <c r="H3" s="17"/>
    </row>
    <row r="4" spans="2:11" x14ac:dyDescent="0.35">
      <c r="B4" s="17"/>
      <c r="C4" s="17"/>
      <c r="D4" s="17"/>
      <c r="E4" s="17"/>
      <c r="F4" s="17"/>
      <c r="G4" s="17"/>
      <c r="H4" s="17"/>
    </row>
    <row r="6" spans="2:11" x14ac:dyDescent="0.35">
      <c r="B6" s="6" t="s">
        <v>28</v>
      </c>
      <c r="C6" s="6" t="s">
        <v>29</v>
      </c>
      <c r="D6" s="6" t="s">
        <v>30</v>
      </c>
      <c r="F6" s="18" t="s">
        <v>41</v>
      </c>
      <c r="G6" s="18"/>
      <c r="H6" s="18"/>
      <c r="I6" s="18"/>
      <c r="J6" s="18"/>
      <c r="K6" s="18"/>
    </row>
    <row r="7" spans="2:11" x14ac:dyDescent="0.35">
      <c r="B7" s="5" t="s">
        <v>31</v>
      </c>
      <c r="C7" s="5" t="s">
        <v>5</v>
      </c>
      <c r="D7" s="5" t="s">
        <v>37</v>
      </c>
      <c r="F7" s="18"/>
      <c r="G7" s="18"/>
      <c r="H7" s="18"/>
      <c r="I7" s="18"/>
      <c r="J7" s="18"/>
      <c r="K7" s="18"/>
    </row>
    <row r="8" spans="2:11" x14ac:dyDescent="0.35">
      <c r="B8" s="5" t="s">
        <v>32</v>
      </c>
      <c r="C8" s="5" t="s">
        <v>3</v>
      </c>
      <c r="D8" s="5" t="s">
        <v>38</v>
      </c>
      <c r="F8" s="18"/>
      <c r="G8" s="18"/>
      <c r="H8" s="18"/>
      <c r="I8" s="18"/>
      <c r="J8" s="18"/>
      <c r="K8" s="18"/>
    </row>
    <row r="9" spans="2:11" x14ac:dyDescent="0.35">
      <c r="B9" s="5" t="s">
        <v>33</v>
      </c>
      <c r="C9" s="5" t="s">
        <v>35</v>
      </c>
      <c r="D9" s="5" t="s">
        <v>39</v>
      </c>
      <c r="F9" s="18"/>
      <c r="G9" s="18"/>
      <c r="H9" s="18"/>
      <c r="I9" s="18"/>
      <c r="J9" s="18"/>
      <c r="K9" s="18"/>
    </row>
    <row r="10" spans="2:11" x14ac:dyDescent="0.35">
      <c r="B10" s="5" t="s">
        <v>34</v>
      </c>
      <c r="C10" s="5" t="s">
        <v>36</v>
      </c>
      <c r="D10" s="5" t="s">
        <v>40</v>
      </c>
      <c r="F10" s="18"/>
      <c r="G10" s="18"/>
      <c r="H10" s="18"/>
      <c r="I10" s="18"/>
      <c r="J10" s="18"/>
      <c r="K10" s="18"/>
    </row>
    <row r="14" spans="2:11" x14ac:dyDescent="0.35">
      <c r="B14" s="6" t="s">
        <v>28</v>
      </c>
      <c r="C14" s="6" t="s">
        <v>29</v>
      </c>
      <c r="D14" s="6" t="s">
        <v>30</v>
      </c>
    </row>
    <row r="15" spans="2:11" x14ac:dyDescent="0.35">
      <c r="B15" s="5" t="s">
        <v>33</v>
      </c>
      <c r="C15" s="5" t="str">
        <f>VLOOKUP(B15,B$7:D$10,2,)</f>
        <v>Roshni</v>
      </c>
      <c r="D15" s="5" t="str">
        <f>VLOOKUP(C15,C$7:E$10,2,)</f>
        <v>Finance</v>
      </c>
    </row>
    <row r="17" spans="1:4" x14ac:dyDescent="0.35">
      <c r="A17" t="s">
        <v>54</v>
      </c>
      <c r="B17" s="23" t="s">
        <v>67</v>
      </c>
      <c r="C17" s="23"/>
      <c r="D17" s="23"/>
    </row>
  </sheetData>
  <mergeCells count="3">
    <mergeCell ref="B3:H4"/>
    <mergeCell ref="F6:K10"/>
    <mergeCell ref="B17:D17"/>
  </mergeCells>
  <phoneticPr fontId="2" type="noConversion"/>
  <dataValidations count="1">
    <dataValidation type="list" allowBlank="1" showInputMessage="1" showErrorMessage="1" sqref="B15" xr:uid="{42D83FBD-CB07-40CE-8DAD-54852B0A1402}">
      <formula1>$B$7:$B$10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ACD79-AA2F-41BC-AAA3-FD0CCC17C982}">
  <dimension ref="A3:I17"/>
  <sheetViews>
    <sheetView workbookViewId="0">
      <selection activeCell="A18" sqref="A18"/>
    </sheetView>
  </sheetViews>
  <sheetFormatPr defaultRowHeight="14.5" x14ac:dyDescent="0.35"/>
  <cols>
    <col min="2" max="2" width="12.26953125" bestFit="1" customWidth="1"/>
    <col min="3" max="3" width="15.6328125" bestFit="1" customWidth="1"/>
  </cols>
  <sheetData>
    <row r="3" spans="2:9" x14ac:dyDescent="0.35">
      <c r="B3" s="12" t="s">
        <v>42</v>
      </c>
      <c r="C3" s="12"/>
      <c r="D3" s="12"/>
      <c r="E3" s="12"/>
      <c r="F3" s="12"/>
      <c r="G3" s="12"/>
      <c r="H3" s="12"/>
      <c r="I3" s="12"/>
    </row>
    <row r="5" spans="2:9" x14ac:dyDescent="0.35">
      <c r="B5" s="8" t="s">
        <v>43</v>
      </c>
      <c r="C5" s="8" t="s">
        <v>44</v>
      </c>
    </row>
    <row r="6" spans="2:9" x14ac:dyDescent="0.35">
      <c r="B6" s="2">
        <v>0</v>
      </c>
      <c r="C6" s="7">
        <v>0.05</v>
      </c>
    </row>
    <row r="7" spans="2:9" x14ac:dyDescent="0.35">
      <c r="B7" s="2">
        <v>20000</v>
      </c>
      <c r="C7" s="7">
        <v>0.1</v>
      </c>
    </row>
    <row r="8" spans="2:9" x14ac:dyDescent="0.35">
      <c r="B8" s="2">
        <v>50000</v>
      </c>
      <c r="C8" s="7">
        <v>0.15</v>
      </c>
    </row>
    <row r="9" spans="2:9" x14ac:dyDescent="0.35">
      <c r="B9" s="2">
        <v>80000</v>
      </c>
      <c r="C9" s="7">
        <v>0.2</v>
      </c>
    </row>
    <row r="11" spans="2:9" x14ac:dyDescent="0.35">
      <c r="B11" s="13" t="s">
        <v>45</v>
      </c>
      <c r="C11" s="13"/>
      <c r="D11" s="13"/>
      <c r="E11" s="13"/>
      <c r="F11" s="13"/>
      <c r="G11" s="13"/>
    </row>
    <row r="12" spans="2:9" x14ac:dyDescent="0.35">
      <c r="B12" s="13"/>
      <c r="C12" s="13"/>
      <c r="D12" s="13"/>
      <c r="E12" s="13"/>
      <c r="F12" s="13"/>
      <c r="G12" s="13"/>
    </row>
    <row r="14" spans="2:9" x14ac:dyDescent="0.35">
      <c r="B14" s="11" t="s">
        <v>43</v>
      </c>
      <c r="C14" s="11" t="s">
        <v>44</v>
      </c>
    </row>
    <row r="15" spans="2:9" x14ac:dyDescent="0.35">
      <c r="B15" s="5">
        <v>450000</v>
      </c>
      <c r="C15" s="10">
        <f>VLOOKUP(B15,B6:C9,2,TRUE)</f>
        <v>0.2</v>
      </c>
    </row>
    <row r="17" spans="1:3" x14ac:dyDescent="0.35">
      <c r="A17" t="s">
        <v>54</v>
      </c>
      <c r="B17" s="23" t="s">
        <v>68</v>
      </c>
      <c r="C17" s="23"/>
    </row>
  </sheetData>
  <mergeCells count="3">
    <mergeCell ref="B3:I3"/>
    <mergeCell ref="B11:G12"/>
    <mergeCell ref="B17:C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33D92-7ADC-44D3-ABF7-403FE699E21F}">
  <dimension ref="A3:J20"/>
  <sheetViews>
    <sheetView topLeftCell="A2" workbookViewId="0">
      <selection activeCell="H16" sqref="H16"/>
    </sheetView>
  </sheetViews>
  <sheetFormatPr defaultRowHeight="14.5" x14ac:dyDescent="0.35"/>
  <cols>
    <col min="2" max="2" width="13.90625" bestFit="1" customWidth="1"/>
    <col min="3" max="3" width="11.90625" bestFit="1" customWidth="1"/>
    <col min="4" max="4" width="13.6328125" bestFit="1" customWidth="1"/>
  </cols>
  <sheetData>
    <row r="3" spans="1:10" x14ac:dyDescent="0.35">
      <c r="B3" s="19" t="s">
        <v>46</v>
      </c>
      <c r="C3" s="19"/>
      <c r="D3" s="19"/>
      <c r="E3" s="19"/>
      <c r="F3" s="19"/>
      <c r="G3" s="19"/>
      <c r="H3" s="19"/>
      <c r="I3" s="19"/>
      <c r="J3" s="19"/>
    </row>
    <row r="5" spans="1:10" x14ac:dyDescent="0.35">
      <c r="B5" s="4" t="s">
        <v>47</v>
      </c>
      <c r="C5" s="4" t="s">
        <v>48</v>
      </c>
      <c r="D5" s="4" t="s">
        <v>49</v>
      </c>
    </row>
    <row r="6" spans="1:10" x14ac:dyDescent="0.35">
      <c r="B6" s="5" t="s">
        <v>50</v>
      </c>
      <c r="C6" s="5">
        <v>10</v>
      </c>
      <c r="D6" s="5">
        <v>12</v>
      </c>
    </row>
    <row r="7" spans="1:10" x14ac:dyDescent="0.35">
      <c r="B7" s="5" t="s">
        <v>51</v>
      </c>
      <c r="C7" s="5">
        <v>10</v>
      </c>
      <c r="D7" s="5">
        <v>15</v>
      </c>
    </row>
    <row r="8" spans="1:10" x14ac:dyDescent="0.35">
      <c r="B8" s="5" t="s">
        <v>52</v>
      </c>
      <c r="C8" s="5">
        <v>8</v>
      </c>
      <c r="D8" s="5">
        <v>12</v>
      </c>
    </row>
    <row r="10" spans="1:10" x14ac:dyDescent="0.35">
      <c r="B10" s="20" t="s">
        <v>53</v>
      </c>
      <c r="C10" s="20"/>
      <c r="D10" s="20"/>
      <c r="E10" s="20"/>
      <c r="F10" s="20"/>
    </row>
    <row r="11" spans="1:10" x14ac:dyDescent="0.35">
      <c r="B11" s="20"/>
      <c r="C11" s="20"/>
      <c r="D11" s="20"/>
      <c r="E11" s="20"/>
      <c r="F11" s="20"/>
    </row>
    <row r="12" spans="1:10" x14ac:dyDescent="0.35">
      <c r="B12" s="20"/>
      <c r="C12" s="20"/>
      <c r="D12" s="20"/>
      <c r="E12" s="20"/>
      <c r="F12" s="20"/>
    </row>
    <row r="15" spans="1:10" x14ac:dyDescent="0.35">
      <c r="A15" s="3" t="s">
        <v>54</v>
      </c>
      <c r="B15" s="6" t="s">
        <v>47</v>
      </c>
      <c r="C15" s="6" t="s">
        <v>48</v>
      </c>
      <c r="D15" s="6" t="s">
        <v>49</v>
      </c>
      <c r="E15" s="6" t="s">
        <v>8</v>
      </c>
      <c r="F15" s="3"/>
    </row>
    <row r="16" spans="1:10" x14ac:dyDescent="0.35">
      <c r="B16" s="5" t="s">
        <v>50</v>
      </c>
      <c r="C16" s="5">
        <v>10</v>
      </c>
      <c r="D16" s="5">
        <v>12</v>
      </c>
      <c r="E16" s="4" t="str">
        <f>IF(C16&gt;D16,"Exceeded","ok")</f>
        <v>ok</v>
      </c>
    </row>
    <row r="17" spans="2:5" x14ac:dyDescent="0.35">
      <c r="B17" s="5" t="s">
        <v>51</v>
      </c>
      <c r="C17" s="5">
        <v>10</v>
      </c>
      <c r="D17" s="5">
        <v>15</v>
      </c>
      <c r="E17" s="4" t="str">
        <f t="shared" ref="E17:E18" si="0">IF(C17&gt;D17,"Exceeded","ok")</f>
        <v>ok</v>
      </c>
    </row>
    <row r="18" spans="2:5" x14ac:dyDescent="0.35">
      <c r="B18" s="5" t="s">
        <v>52</v>
      </c>
      <c r="C18" s="5">
        <v>8</v>
      </c>
      <c r="D18" s="5">
        <v>12</v>
      </c>
      <c r="E18" s="4" t="str">
        <f t="shared" si="0"/>
        <v>ok</v>
      </c>
    </row>
    <row r="20" spans="2:5" x14ac:dyDescent="0.35">
      <c r="B20" s="23" t="s">
        <v>69</v>
      </c>
      <c r="C20" s="23"/>
      <c r="D20" s="23"/>
    </row>
  </sheetData>
  <mergeCells count="3">
    <mergeCell ref="B3:J3"/>
    <mergeCell ref="B10:F12"/>
    <mergeCell ref="B20:D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FB91-2987-41A9-AAE6-B666881CBD4B}">
  <dimension ref="A3:H15"/>
  <sheetViews>
    <sheetView workbookViewId="0">
      <selection activeCell="H13" sqref="H13"/>
    </sheetView>
  </sheetViews>
  <sheetFormatPr defaultRowHeight="14.5" x14ac:dyDescent="0.35"/>
  <sheetData>
    <row r="3" spans="1:8" x14ac:dyDescent="0.35">
      <c r="B3" s="12" t="s">
        <v>55</v>
      </c>
      <c r="C3" s="12"/>
      <c r="D3" s="12"/>
      <c r="E3" s="12"/>
      <c r="F3" s="12"/>
      <c r="G3" s="12"/>
      <c r="H3" s="12"/>
    </row>
    <row r="5" spans="1:8" x14ac:dyDescent="0.35">
      <c r="B5" s="6" t="s">
        <v>28</v>
      </c>
      <c r="C5" s="6" t="s">
        <v>56</v>
      </c>
    </row>
    <row r="6" spans="1:8" x14ac:dyDescent="0.35">
      <c r="B6" s="5" t="s">
        <v>34</v>
      </c>
      <c r="C6" s="5">
        <v>55000</v>
      </c>
    </row>
    <row r="7" spans="1:8" x14ac:dyDescent="0.35">
      <c r="B7" s="5" t="s">
        <v>57</v>
      </c>
      <c r="C7" s="5">
        <v>72000</v>
      </c>
    </row>
    <row r="8" spans="1:8" x14ac:dyDescent="0.35">
      <c r="B8" s="5" t="s">
        <v>58</v>
      </c>
      <c r="C8" s="5">
        <v>62000</v>
      </c>
    </row>
    <row r="9" spans="1:8" x14ac:dyDescent="0.35">
      <c r="B9" s="5" t="s">
        <v>32</v>
      </c>
      <c r="C9" s="5">
        <v>41000</v>
      </c>
    </row>
    <row r="12" spans="1:8" x14ac:dyDescent="0.35">
      <c r="A12" t="s">
        <v>54</v>
      </c>
      <c r="B12" s="6" t="s">
        <v>28</v>
      </c>
      <c r="C12" s="6" t="s">
        <v>56</v>
      </c>
    </row>
    <row r="13" spans="1:8" x14ac:dyDescent="0.35">
      <c r="B13" s="21" t="s">
        <v>57</v>
      </c>
      <c r="C13" s="5">
        <f>INDEX(C5:C9, MATCH(B13, B5:B9, 0))</f>
        <v>72000</v>
      </c>
    </row>
    <row r="15" spans="1:8" x14ac:dyDescent="0.35">
      <c r="B15" s="24" t="s">
        <v>59</v>
      </c>
      <c r="C15" s="24"/>
      <c r="D15" s="24"/>
      <c r="E15" s="24"/>
    </row>
  </sheetData>
  <mergeCells count="2">
    <mergeCell ref="B3:H3"/>
    <mergeCell ref="B15:E15"/>
  </mergeCells>
  <dataValidations count="1">
    <dataValidation type="list" allowBlank="1" showInputMessage="1" showErrorMessage="1" sqref="B13" xr:uid="{C597A845-04D7-4C0F-A7AD-A1D98CFD3891}">
      <formula1>$B$6:$B$9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B6BBD-0C3B-46C2-9E1C-0385C0D51CE9}">
  <dimension ref="A3:I16"/>
  <sheetViews>
    <sheetView tabSelected="1" workbookViewId="0">
      <selection activeCell="H16" sqref="H16"/>
    </sheetView>
  </sheetViews>
  <sheetFormatPr defaultRowHeight="14.5" x14ac:dyDescent="0.35"/>
  <cols>
    <col min="4" max="4" width="10.81640625" bestFit="1" customWidth="1"/>
  </cols>
  <sheetData>
    <row r="3" spans="1:9" x14ac:dyDescent="0.35">
      <c r="B3" s="12" t="s">
        <v>60</v>
      </c>
      <c r="C3" s="12"/>
      <c r="D3" s="12"/>
      <c r="E3" s="12"/>
      <c r="F3" s="12"/>
      <c r="G3" s="12"/>
      <c r="H3" s="12"/>
      <c r="I3" s="12"/>
    </row>
    <row r="6" spans="1:9" x14ac:dyDescent="0.35">
      <c r="C6" s="8" t="s">
        <v>28</v>
      </c>
      <c r="D6" s="8" t="s">
        <v>30</v>
      </c>
    </row>
    <row r="7" spans="1:9" x14ac:dyDescent="0.35">
      <c r="C7" s="2" t="s">
        <v>31</v>
      </c>
      <c r="D7" s="2" t="s">
        <v>38</v>
      </c>
    </row>
    <row r="8" spans="1:9" x14ac:dyDescent="0.35">
      <c r="C8" s="2" t="s">
        <v>61</v>
      </c>
      <c r="D8" s="2" t="s">
        <v>37</v>
      </c>
    </row>
    <row r="9" spans="1:9" x14ac:dyDescent="0.35">
      <c r="C9" s="2" t="s">
        <v>58</v>
      </c>
      <c r="D9" s="2" t="s">
        <v>40</v>
      </c>
    </row>
    <row r="10" spans="1:9" x14ac:dyDescent="0.35">
      <c r="C10" s="2" t="s">
        <v>62</v>
      </c>
      <c r="D10" s="2" t="s">
        <v>39</v>
      </c>
    </row>
    <row r="13" spans="1:9" x14ac:dyDescent="0.35">
      <c r="C13" s="6" t="s">
        <v>28</v>
      </c>
      <c r="D13" s="6" t="s">
        <v>30</v>
      </c>
    </row>
    <row r="14" spans="1:9" x14ac:dyDescent="0.35">
      <c r="C14" s="2" t="s">
        <v>61</v>
      </c>
      <c r="D14" s="2" t="str">
        <f>_xlfn.XLOOKUP(C14,C7:C10,D7:D10)</f>
        <v>IT</v>
      </c>
      <c r="H14" s="22"/>
    </row>
    <row r="16" spans="1:9" x14ac:dyDescent="0.35">
      <c r="A16" s="4" t="s">
        <v>54</v>
      </c>
      <c r="B16" s="27" t="s">
        <v>70</v>
      </c>
      <c r="C16" s="27"/>
      <c r="D16" s="27"/>
    </row>
  </sheetData>
  <mergeCells count="2">
    <mergeCell ref="B3:I3"/>
    <mergeCell ref="B16:D16"/>
  </mergeCells>
  <dataValidations count="1">
    <dataValidation type="list" allowBlank="1" showInputMessage="1" showErrorMessage="1" sqref="C14" xr:uid="{3ABE9FEE-00F7-4C5F-854F-7295ABE0D7EE}">
      <formula1>$C$7:$C$10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Yadav</dc:creator>
  <cp:lastModifiedBy>Ram Yadav</cp:lastModifiedBy>
  <dcterms:created xsi:type="dcterms:W3CDTF">2026-01-18T13:39:02Z</dcterms:created>
  <dcterms:modified xsi:type="dcterms:W3CDTF">2026-01-20T15:21:26Z</dcterms:modified>
</cp:coreProperties>
</file>
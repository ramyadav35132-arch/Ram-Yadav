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ink/ink1.xml" ContentType="application/inkml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F:\Disk E\ISC bhotik sagar\excel\"/>
    </mc:Choice>
  </mc:AlternateContent>
  <xr:revisionPtr revIDLastSave="0" documentId="8_{1DD3C4E0-1A16-490B-AA03-09F77780B09A}" xr6:coauthVersionLast="47" xr6:coauthVersionMax="47" xr10:uidLastSave="{00000000-0000-0000-0000-000000000000}"/>
  <bookViews>
    <workbookView xWindow="-110" yWindow="-110" windowWidth="19420" windowHeight="10300" xr2:uid="{7B61371E-553C-4C4C-8ECC-BD7F19226966}"/>
  </bookViews>
  <sheets>
    <sheet name="Q1" sheetId="1" r:id="rId1"/>
    <sheet name="Q2" sheetId="3" r:id="rId2"/>
    <sheet name="Q3" sheetId="4" r:id="rId3"/>
    <sheet name="Q4" sheetId="5" r:id="rId4"/>
    <sheet name="Q5" sheetId="6" r:id="rId5"/>
    <sheet name="Q6" sheetId="8" r:id="rId6"/>
    <sheet name="Q6,Q7" sheetId="7" r:id="rId7"/>
    <sheet name="Ans6.7 chart" sheetId="9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5" l="1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4" i="5"/>
  <c r="D9" i="3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" i="6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6" i="7"/>
  <c r="F55" i="5"/>
  <c r="I53" i="5"/>
  <c r="I52" i="5"/>
  <c r="D10" i="4"/>
</calcChain>
</file>

<file path=xl/sharedStrings.xml><?xml version="1.0" encoding="utf-8"?>
<sst xmlns="http://schemas.openxmlformats.org/spreadsheetml/2006/main" count="692" uniqueCount="125">
  <si>
    <t>Assignment</t>
  </si>
  <si>
    <t>Q1,Explain the diffrence between Relative, Absolute, and Mixed cell Referencing.</t>
  </si>
  <si>
    <t>Relative</t>
  </si>
  <si>
    <t xml:space="preserve"> (A1): Changes when you copy the formula.</t>
  </si>
  <si>
    <t xml:space="preserve"> Move it, the reference moves.</t>
  </si>
  <si>
    <t>Absolute</t>
  </si>
  <si>
    <t xml:space="preserve"> ($A$1): Never changes.</t>
  </si>
  <si>
    <t>Always points to the same cell.</t>
  </si>
  <si>
    <t>Mixed</t>
  </si>
  <si>
    <t xml:space="preserve"> ($A1 / A$1): One part is fixed.</t>
  </si>
  <si>
    <t xml:space="preserve"> $A1 = column fixed, row changes</t>
  </si>
  <si>
    <t>A$1 = row fixed, column changes</t>
  </si>
  <si>
    <t>Q2,Write formula to calculate the  total sales of car and Bicycle only .</t>
  </si>
  <si>
    <t>Vehicle</t>
  </si>
  <si>
    <t>Price</t>
  </si>
  <si>
    <t>car</t>
  </si>
  <si>
    <t>Bicycle</t>
  </si>
  <si>
    <t>Auto-Rickshaw</t>
  </si>
  <si>
    <t>Total sale of Bicycle and Car</t>
  </si>
  <si>
    <t>Q3, Using the data below  write a formula to calculate the average sales of items price above 100 but less than 300;</t>
  </si>
  <si>
    <t>Item</t>
  </si>
  <si>
    <t>Sales</t>
  </si>
  <si>
    <t>Item A</t>
  </si>
  <si>
    <t>Item B</t>
  </si>
  <si>
    <t>Item C</t>
  </si>
  <si>
    <t>Final Answer</t>
  </si>
  <si>
    <t>Q4,Count  how many customer names are recorded</t>
  </si>
  <si>
    <t>OrderID</t>
  </si>
  <si>
    <t>CustomerName</t>
  </si>
  <si>
    <t>Region</t>
  </si>
  <si>
    <t>Product</t>
  </si>
  <si>
    <t>Quantity</t>
  </si>
  <si>
    <t>UnitPrice</t>
  </si>
  <si>
    <t>OrderDate</t>
  </si>
  <si>
    <t>TOTAL SALES</t>
  </si>
  <si>
    <t>Amit Sharma</t>
  </si>
  <si>
    <t>North</t>
  </si>
  <si>
    <t>Notebook</t>
  </si>
  <si>
    <t>Neha Verma</t>
  </si>
  <si>
    <t>South</t>
  </si>
  <si>
    <t>Pen</t>
  </si>
  <si>
    <t>Rahul Singh</t>
  </si>
  <si>
    <t>East</t>
  </si>
  <si>
    <t>Marker</t>
  </si>
  <si>
    <t>Pooja Mehta</t>
  </si>
  <si>
    <t>West</t>
  </si>
  <si>
    <t>Ankit Jain</t>
  </si>
  <si>
    <t>Pencil</t>
  </si>
  <si>
    <t>Sneha Patel</t>
  </si>
  <si>
    <t>Vikas Gupta</t>
  </si>
  <si>
    <t>Eraser</t>
  </si>
  <si>
    <t>13-01-2024</t>
  </si>
  <si>
    <t>Meera Nair</t>
  </si>
  <si>
    <t>15-01-2024</t>
  </si>
  <si>
    <t>Anjali Rao</t>
  </si>
  <si>
    <t>17-01-2024</t>
  </si>
  <si>
    <t>Manoj Das</t>
  </si>
  <si>
    <t>18-01-2024</t>
  </si>
  <si>
    <t>Ritika Sen</t>
  </si>
  <si>
    <t>19-01-2024</t>
  </si>
  <si>
    <t>Karan Malhotra</t>
  </si>
  <si>
    <t>20-01-2024</t>
  </si>
  <si>
    <t>Aryan Joshi</t>
  </si>
  <si>
    <t>22-01-2024</t>
  </si>
  <si>
    <t>Divya Kapoor</t>
  </si>
  <si>
    <t>23-01-2024</t>
  </si>
  <si>
    <t>Sahil Arora</t>
  </si>
  <si>
    <t>24-01-2024</t>
  </si>
  <si>
    <t>Muskan Jain</t>
  </si>
  <si>
    <t>26-01-2024</t>
  </si>
  <si>
    <t>Rohan Gupta</t>
  </si>
  <si>
    <t>28-01-2024</t>
  </si>
  <si>
    <t>Nidhi Sharma</t>
  </si>
  <si>
    <t>29-01-2024</t>
  </si>
  <si>
    <t>Tarun Verma</t>
  </si>
  <si>
    <t>30-01-2024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</si>
  <si>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</si>
  <si>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</si>
  <si>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</si>
  <si>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</si>
  <si>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</si>
  <si>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</si>
  <si>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</si>
  <si>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</si>
  <si>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</si>
  <si>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</si>
  <si>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</si>
  <si>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13-02-2024</t>
  </si>
  <si>
    <t>Harsh Yadav</t>
  </si>
  <si>
    <t>14-02-2024</t>
  </si>
  <si>
    <t>Kajal Rani</t>
  </si>
  <si>
    <t>16-02-2024</t>
  </si>
  <si>
    <t>Varun Sharma</t>
  </si>
  <si>
    <t>17-02-2024</t>
  </si>
  <si>
    <t>Swati Arora</t>
  </si>
  <si>
    <t>18-02-2024</t>
  </si>
  <si>
    <t>Akhil Jain</t>
  </si>
  <si>
    <t>19-02-2024</t>
  </si>
  <si>
    <t>Priyanka Das</t>
  </si>
  <si>
    <t>21-02-2024</t>
  </si>
  <si>
    <t>Ravi Nair</t>
  </si>
  <si>
    <t>22-02-2024</t>
  </si>
  <si>
    <t>Komal Singh</t>
  </si>
  <si>
    <t>23-02-2024</t>
  </si>
  <si>
    <t>Ayesha Khan</t>
  </si>
  <si>
    <t>25-02-2024</t>
  </si>
  <si>
    <t>Arjun Mehta</t>
  </si>
  <si>
    <t>26-02-2024</t>
  </si>
  <si>
    <t>Sonali Gupta</t>
  </si>
  <si>
    <t>27-02-2024</t>
  </si>
  <si>
    <t>Neeraj Kapoor</t>
  </si>
  <si>
    <t>28-02-2024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</si>
  <si>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</si>
  <si>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</si>
  <si>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</si>
  <si>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</si>
  <si>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</si>
  <si>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</si>
  <si>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</si>
  <si>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</si>
  <si>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t>Total coustomer names are =</t>
  </si>
  <si>
    <t>Q5,Calculate the Total sales of each row using a formula.</t>
  </si>
  <si>
    <t>Q6, Calculate the total sales of NoteBooks in North only</t>
  </si>
  <si>
    <t>Q7, Create a column chart showing total sales by product.</t>
  </si>
  <si>
    <t>Q8, Insert a line chart showing daily sales trend.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</si>
</sst>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-dd\-yyyy"/>
    <numFmt numFmtId="165" formatCode="0.0"/>
  </numFmts>
  <fonts count="18" x14ac:knownFonts="1">
    <font>
      <sz val="11"/>
      <color theme="1"/>
      <name val="Aptos Narrow"/>
      <family val="2"/>
      <scheme val="minor"/>
    </font>
    <font>
      <b/>
      <i/>
      <sz val="11"/>
      <color rgb="FFFF00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i/>
      <u/>
      <sz val="11"/>
      <color theme="1"/>
      <name val="Arial"/>
      <family val="2"/>
    </font>
    <font>
      <b/>
      <i/>
      <sz val="11"/>
      <color theme="1"/>
      <name val="Arial"/>
      <family val="2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theme="1"/>
      <name val="Aptos Narrow"/>
      <family val="2"/>
      <scheme val="minor"/>
    </font>
    <font>
      <b/>
      <sz val="11"/>
      <color theme="1"/>
      <name val="Arial Black"/>
      <family val="2"/>
    </font>
    <font>
      <sz val="18"/>
      <color theme="1"/>
      <name val="Aptos Narrow"/>
      <family val="2"/>
      <scheme val="minor"/>
    </font>
    <font>
      <sz val="11"/>
      <color theme="1"/>
      <name val="Arial Black"/>
      <family val="2"/>
    </font>
    <font>
      <sz val="11"/>
      <color rgb="FF7030A0"/>
      <name val="Arial Black"/>
      <family val="2"/>
    </font>
    <font>
      <b/>
      <sz val="18"/>
      <color theme="1"/>
      <name val="Aptos Narrow"/>
      <family val="2"/>
      <scheme val="minor"/>
    </font>
    <font>
      <b/>
      <sz val="11"/>
      <color rgb="FF000000"/>
      <name val="Arial Black"/>
      <family val="2"/>
    </font>
    <font>
      <b/>
      <sz val="28"/>
      <color theme="1"/>
      <name val="Arial Black"/>
      <family val="2"/>
    </font>
    <font>
      <b/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6" fillId="0" borderId="1" xfId="0" applyFont="1" applyBorder="1"/>
    <xf numFmtId="0" fontId="0" fillId="0" borderId="1" xfId="0" applyBorder="1"/>
    <xf numFmtId="0" fontId="8" fillId="0" borderId="0" xfId="0" applyFont="1" applyAlignment="1">
      <alignment horizontal="right"/>
    </xf>
    <xf numFmtId="0" fontId="8" fillId="0" borderId="0" xfId="0" applyFont="1"/>
    <xf numFmtId="164" fontId="8" fillId="0" borderId="0" xfId="0" applyNumberFormat="1" applyFont="1" applyAlignment="1">
      <alignment horizontal="right"/>
    </xf>
    <xf numFmtId="0" fontId="0" fillId="0" borderId="1" xfId="0" applyBorder="1" applyAlignment="1">
      <alignment horizontal="right"/>
    </xf>
    <xf numFmtId="0" fontId="8" fillId="0" borderId="0" xfId="0" applyFont="1" applyAlignment="1">
      <alignment horizontal="right" wrapText="1"/>
    </xf>
    <xf numFmtId="0" fontId="0" fillId="0" borderId="2" xfId="0" applyBorder="1" applyAlignment="1">
      <alignment horizontal="right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6" fillId="0" borderId="1" xfId="0" applyFont="1" applyBorder="1" applyAlignment="1">
      <alignment horizontal="left"/>
    </xf>
    <xf numFmtId="1" fontId="11" fillId="4" borderId="1" xfId="0" applyNumberFormat="1" applyFont="1" applyFill="1" applyBorder="1"/>
    <xf numFmtId="0" fontId="13" fillId="0" borderId="0" xfId="0" applyFont="1"/>
    <xf numFmtId="0" fontId="10" fillId="5" borderId="1" xfId="0" applyFont="1" applyFill="1" applyBorder="1"/>
    <xf numFmtId="0" fontId="14" fillId="4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left" vertical="top"/>
    </xf>
    <xf numFmtId="0" fontId="3" fillId="0" borderId="0" xfId="0" applyFont="1"/>
    <xf numFmtId="0" fontId="17" fillId="5" borderId="1" xfId="0" applyFont="1" applyFill="1" applyBorder="1"/>
    <xf numFmtId="0" fontId="8" fillId="0" borderId="1" xfId="0" applyFont="1" applyBorder="1" applyAlignment="1">
      <alignment horizontal="right"/>
    </xf>
    <xf numFmtId="0" fontId="8" fillId="0" borderId="1" xfId="0" applyFont="1" applyBorder="1"/>
    <xf numFmtId="164" fontId="8" fillId="0" borderId="1" xfId="0" applyNumberFormat="1" applyFont="1" applyBorder="1" applyAlignment="1">
      <alignment horizontal="right"/>
    </xf>
    <xf numFmtId="0" fontId="9" fillId="0" borderId="1" xfId="0" applyFont="1" applyBorder="1"/>
    <xf numFmtId="0" fontId="7" fillId="6" borderId="1" xfId="0" applyFont="1" applyFill="1" applyBorder="1" applyAlignment="1">
      <alignment horizontal="left"/>
    </xf>
    <xf numFmtId="164" fontId="7" fillId="6" borderId="1" xfId="0" applyNumberFormat="1" applyFont="1" applyFill="1" applyBorder="1" applyAlignment="1">
      <alignment horizontal="left"/>
    </xf>
    <xf numFmtId="0" fontId="7" fillId="6" borderId="12" xfId="0" applyFont="1" applyFill="1" applyBorder="1" applyAlignment="1">
      <alignment horizontal="left"/>
    </xf>
    <xf numFmtId="164" fontId="7" fillId="6" borderId="12" xfId="0" applyNumberFormat="1" applyFont="1" applyFill="1" applyBorder="1" applyAlignment="1">
      <alignment horizontal="left"/>
    </xf>
    <xf numFmtId="0" fontId="9" fillId="5" borderId="12" xfId="0" applyFont="1" applyFill="1" applyBorder="1"/>
    <xf numFmtId="0" fontId="7" fillId="0" borderId="0" xfId="0" applyFont="1"/>
    <xf numFmtId="0" fontId="9" fillId="0" borderId="0" xfId="0" applyFont="1"/>
    <xf numFmtId="0" fontId="1" fillId="2" borderId="18" xfId="0" applyFont="1" applyFill="1" applyBorder="1" applyAlignment="1">
      <alignment horizontal="left"/>
    </xf>
    <xf numFmtId="0" fontId="2" fillId="2" borderId="18" xfId="0" applyFont="1" applyFill="1" applyBorder="1" applyAlignment="1">
      <alignment horizontal="left"/>
    </xf>
    <xf numFmtId="0" fontId="0" fillId="0" borderId="6" xfId="0" applyBorder="1" applyAlignment="1">
      <alignment horizontal="left"/>
    </xf>
    <xf numFmtId="165" fontId="0" fillId="0" borderId="0" xfId="0" applyNumberFormat="1"/>
    <xf numFmtId="0" fontId="12" fillId="5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12" fillId="5" borderId="6" xfId="0" applyFont="1" applyFill="1" applyBorder="1" applyAlignment="1">
      <alignment horizontal="left" vertical="top" wrapText="1"/>
    </xf>
    <xf numFmtId="0" fontId="12" fillId="5" borderId="0" xfId="0" applyFont="1" applyFill="1" applyAlignment="1">
      <alignment horizontal="left" vertical="top" wrapText="1"/>
    </xf>
    <xf numFmtId="0" fontId="12" fillId="5" borderId="7" xfId="0" applyFont="1" applyFill="1" applyBorder="1" applyAlignment="1">
      <alignment horizontal="left" vertical="top" wrapText="1"/>
    </xf>
    <xf numFmtId="0" fontId="16" fillId="5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3" xfId="0" applyBorder="1" applyAlignment="1">
      <alignment horizontal="center"/>
    </xf>
    <xf numFmtId="0" fontId="6" fillId="0" borderId="16" xfId="0" applyFont="1" applyBorder="1" applyAlignment="1">
      <alignment horizontal="left"/>
    </xf>
    <xf numFmtId="0" fontId="6" fillId="0" borderId="17" xfId="0" applyFont="1" applyBorder="1" applyAlignment="1">
      <alignment horizontal="left"/>
    </xf>
    <xf numFmtId="0" fontId="10" fillId="4" borderId="16" xfId="0" applyFont="1" applyFill="1" applyBorder="1" applyAlignment="1">
      <alignment horizontal="left" wrapText="1"/>
    </xf>
    <xf numFmtId="0" fontId="10" fillId="4" borderId="17" xfId="0" applyFont="1" applyFill="1" applyBorder="1" applyAlignment="1">
      <alignment horizontal="left" wrapText="1"/>
    </xf>
    <xf numFmtId="0" fontId="10" fillId="5" borderId="0" xfId="0" applyFont="1" applyFill="1" applyAlignment="1">
      <alignment horizontal="left" wrapText="1"/>
    </xf>
    <xf numFmtId="0" fontId="10" fillId="5" borderId="7" xfId="0" applyFont="1" applyFill="1" applyBorder="1" applyAlignment="1">
      <alignment horizontal="left" wrapText="1"/>
    </xf>
    <xf numFmtId="0" fontId="10" fillId="5" borderId="16" xfId="0" applyFont="1" applyFill="1" applyBorder="1" applyAlignment="1">
      <alignment horizontal="left"/>
    </xf>
    <xf numFmtId="0" fontId="10" fillId="5" borderId="17" xfId="0" applyFont="1" applyFill="1" applyBorder="1" applyAlignment="1">
      <alignment horizontal="left"/>
    </xf>
    <xf numFmtId="0" fontId="12" fillId="4" borderId="1" xfId="0" applyFont="1" applyFill="1" applyBorder="1" applyAlignment="1">
      <alignment horizontal="center"/>
    </xf>
    <xf numFmtId="0" fontId="15" fillId="5" borderId="6" xfId="0" applyFont="1" applyFill="1" applyBorder="1" applyAlignment="1">
      <alignment horizontal="left" vertical="top" wrapText="1"/>
    </xf>
    <xf numFmtId="0" fontId="15" fillId="5" borderId="0" xfId="0" applyFont="1" applyFill="1" applyAlignment="1">
      <alignment horizontal="left" vertical="top" wrapText="1"/>
    </xf>
    <xf numFmtId="0" fontId="15" fillId="5" borderId="7" xfId="0" applyFont="1" applyFill="1" applyBorder="1" applyAlignment="1">
      <alignment horizontal="left" vertical="top" wrapText="1"/>
    </xf>
    <xf numFmtId="0" fontId="10" fillId="5" borderId="0" xfId="0" applyFont="1" applyFill="1" applyAlignment="1">
      <alignment horizontal="left"/>
    </xf>
    <xf numFmtId="0" fontId="12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left"/>
    </xf>
    <xf numFmtId="0" fontId="6" fillId="5" borderId="13" xfId="0" applyFont="1" applyFill="1" applyBorder="1" applyAlignment="1">
      <alignment horizontal="left"/>
    </xf>
    <xf numFmtId="0" fontId="6" fillId="5" borderId="14" xfId="0" applyFont="1" applyFill="1" applyBorder="1" applyAlignment="1">
      <alignment horizontal="left"/>
    </xf>
    <xf numFmtId="0" fontId="6" fillId="5" borderId="15" xfId="0" applyFont="1" applyFill="1" applyBorder="1" applyAlignment="1">
      <alignment horizontal="left"/>
    </xf>
    <xf numFmtId="0" fontId="6" fillId="5" borderId="0" xfId="0" applyFont="1" applyFill="1" applyAlignment="1">
      <alignment horizontal="center"/>
    </xf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'Q6,Q7'!$H$5</c:f>
              <c:strCache>
                <c:ptCount val="1"/>
                <c:pt idx="0">
                  <c:v>TOTAL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'Q6,Q7'!$D$6:$D$55</c:f>
              <c:strCache>
                <c:ptCount val="50"/>
                <c:pt idx="0">
                  <c:v>Notebook</c:v>
                </c:pt>
                <c:pt idx="1">
                  <c:v>Pen</c:v>
                </c:pt>
                <c:pt idx="2">
                  <c:v>Marker</c:v>
                </c:pt>
                <c:pt idx="3">
                  <c:v>Notebook</c:v>
                </c:pt>
                <c:pt idx="4">
                  <c:v>Pencil</c:v>
                </c:pt>
                <c:pt idx="5">
                  <c:v>Notebook</c:v>
                </c:pt>
                <c:pt idx="6">
                  <c:v>Eraser</c:v>
                </c:pt>
                <c:pt idx="7">
                  <c:v>Pen</c:v>
                </c:pt>
                <c:pt idx="8">
                  <c:v>Marker</c:v>
                </c:pt>
                <c:pt idx="9">
                  <c:v>Notebook</c:v>
                </c:pt>
                <c:pt idx="10">
                  <c:v>Pencil</c:v>
                </c:pt>
                <c:pt idx="11">
                  <c:v>Eraser</c:v>
                </c:pt>
                <c:pt idx="12">
                  <c:v>Notebook</c:v>
                </c:pt>
                <c:pt idx="13">
                  <c:v>Pen</c:v>
                </c:pt>
                <c:pt idx="14">
                  <c:v>Marker</c:v>
                </c:pt>
                <c:pt idx="15">
                  <c:v>Pencil</c:v>
                </c:pt>
                <c:pt idx="16">
                  <c:v>Eraser</c:v>
                </c:pt>
                <c:pt idx="17">
                  <c:v>Notebook</c:v>
                </c:pt>
                <c:pt idx="18">
                  <c:v>Pen</c:v>
                </c:pt>
                <c:pt idx="19">
                  <c:v>Marker</c:v>
                </c:pt>
                <c:pt idx="20">
                  <c:v>Notebook</c:v>
                </c:pt>
                <c:pt idx="21">
                  <c:v>Pencil</c:v>
                </c:pt>
                <c:pt idx="22">
                  <c:v>Eraser</c:v>
                </c:pt>
                <c:pt idx="23">
                  <c:v>Notebook</c:v>
                </c:pt>
                <c:pt idx="24">
                  <c:v>Pen</c:v>
                </c:pt>
                <c:pt idx="25">
                  <c:v>Marker</c:v>
                </c:pt>
                <c:pt idx="26">
                  <c:v>Pencil</c:v>
                </c:pt>
                <c:pt idx="27">
                  <c:v>Eraser</c:v>
                </c:pt>
                <c:pt idx="28">
                  <c:v>Notebook</c:v>
                </c:pt>
                <c:pt idx="29">
                  <c:v>Pen</c:v>
                </c:pt>
                <c:pt idx="30">
                  <c:v>Marker</c:v>
                </c:pt>
                <c:pt idx="31">
                  <c:v>Pencil</c:v>
                </c:pt>
                <c:pt idx="32">
                  <c:v>Eraser</c:v>
                </c:pt>
                <c:pt idx="33">
                  <c:v>Notebook</c:v>
                </c:pt>
                <c:pt idx="34">
                  <c:v>Pen</c:v>
                </c:pt>
                <c:pt idx="35">
                  <c:v>Marker</c:v>
                </c:pt>
                <c:pt idx="36">
                  <c:v>Pencil</c:v>
                </c:pt>
                <c:pt idx="37">
                  <c:v>Eraser</c:v>
                </c:pt>
                <c:pt idx="38">
                  <c:v>Notebook</c:v>
                </c:pt>
                <c:pt idx="39">
                  <c:v>Pen</c:v>
                </c:pt>
                <c:pt idx="40">
                  <c:v>Marker</c:v>
                </c:pt>
                <c:pt idx="41">
                  <c:v>Pencil</c:v>
                </c:pt>
                <c:pt idx="42">
                  <c:v>Eraser</c:v>
                </c:pt>
                <c:pt idx="43">
                  <c:v>Notebook</c:v>
                </c:pt>
                <c:pt idx="44">
                  <c:v>Pen</c:v>
                </c:pt>
                <c:pt idx="45">
                  <c:v>Marker</c:v>
                </c:pt>
                <c:pt idx="46">
                  <c:v>Pencil</c:v>
                </c:pt>
                <c:pt idx="47">
                  <c:v>Eraser</c:v>
                </c:pt>
                <c:pt idx="48">
                  <c:v>Notebook</c:v>
                </c:pt>
                <c:pt idx="49">
                  <c:v>Pen</c:v>
                </c:pt>
              </c:strCache>
            </c:strRef>
          </c:cat>
          <c:val>
            <c:numRef>
              <c:f>'Q6,Q7'!$H$6:$H$55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2D-4883-A05B-B0064604E3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97197536"/>
        <c:axId val="1897198016"/>
        <c:axId val="0"/>
      </c:bar3DChart>
      <c:catAx>
        <c:axId val="1897197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7198016"/>
        <c:crosses val="autoZero"/>
        <c:auto val="1"/>
        <c:lblAlgn val="ctr"/>
        <c:lblOffset val="100"/>
        <c:noMultiLvlLbl val="0"/>
      </c:catAx>
      <c:valAx>
        <c:axId val="189719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7197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Trend</a:t>
            </a:r>
            <a:r>
              <a:rPr lang="en-US" baseline="0"/>
              <a:t> of Sales</a:t>
            </a:r>
          </a:p>
        </c:rich>
      </c:tx>
      <c:layout>
        <c:manualLayout>
          <c:xMode val="edge"/>
          <c:yMode val="edge"/>
          <c:x val="0.35374045498720719"/>
          <c:y val="6.43678160919540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'Q6,Q7'!$H$5</c:f>
              <c:strCache>
                <c:ptCount val="1"/>
                <c:pt idx="0">
                  <c:v>TOTAL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'Q6,Q7'!$G$6:$G$55</c:f>
              <c:strCache>
                <c:ptCount val="50"/>
                <c:pt idx="0">
                  <c:v>05-01-2024</c:v>
                </c:pt>
                <c:pt idx="1">
                  <c:v>06-01-2024</c:v>
                </c:pt>
                <c:pt idx="2">
                  <c:v>07-01-2024</c:v>
                </c:pt>
                <c:pt idx="3">
                  <c:v>08-01-2024</c:v>
                </c:pt>
                <c:pt idx="4">
                  <c:v>10-01-2024</c:v>
                </c:pt>
                <c:pt idx="5">
                  <c:v>11-01-2024</c:v>
                </c:pt>
                <c:pt idx="6">
                  <c:v>13-01-2024</c:v>
                </c:pt>
                <c:pt idx="7">
                  <c:v>15-01-2024</c:v>
                </c:pt>
                <c:pt idx="8">
                  <c:v>17-01-2024</c:v>
                </c:pt>
                <c:pt idx="9">
                  <c:v>18-01-2024</c:v>
                </c:pt>
                <c:pt idx="10">
                  <c:v>19-01-2024</c:v>
                </c:pt>
                <c:pt idx="11">
                  <c:v>20-01-2024</c:v>
                </c:pt>
                <c:pt idx="12">
                  <c:v>22-01-2024</c:v>
                </c:pt>
                <c:pt idx="13">
                  <c:v>23-01-2024</c:v>
                </c:pt>
                <c:pt idx="14">
                  <c:v>24-01-2024</c:v>
                </c:pt>
                <c:pt idx="15">
                  <c:v>26-01-2024</c:v>
                </c:pt>
                <c:pt idx="16">
                  <c:v>28-01-2024</c:v>
                </c:pt>
                <c:pt idx="17">
                  <c:v>29-01-2024</c:v>
                </c:pt>
                <c:pt idx="18">
                  <c:v>30-01-2024</c:v>
                </c:pt>
                <c:pt idx="19">
                  <c:v>01-02-2024</c:v>
                </c:pt>
                <c:pt idx="20">
                  <c:v>02-02-2024</c:v>
                </c:pt>
                <c:pt idx="21">
                  <c:v>03-02-2024</c:v>
                </c:pt>
                <c:pt idx="22">
                  <c:v>04-02-2024</c:v>
                </c:pt>
                <c:pt idx="23">
                  <c:v>06-02-2024</c:v>
                </c:pt>
                <c:pt idx="24">
                  <c:v>07-02-2024</c:v>
                </c:pt>
                <c:pt idx="25">
                  <c:v>08-02-2024</c:v>
                </c:pt>
                <c:pt idx="26">
                  <c:v>09-02-2024</c:v>
                </c:pt>
                <c:pt idx="27">
                  <c:v>10-02-2024</c:v>
                </c:pt>
                <c:pt idx="28">
                  <c:v>12-02-2024</c:v>
                </c:pt>
                <c:pt idx="29">
                  <c:v>13-02-2024</c:v>
                </c:pt>
                <c:pt idx="30">
                  <c:v>14-02-2024</c:v>
                </c:pt>
                <c:pt idx="31">
                  <c:v>16-02-2024</c:v>
                </c:pt>
                <c:pt idx="32">
                  <c:v>17-02-2024</c:v>
                </c:pt>
                <c:pt idx="33">
                  <c:v>18-02-2024</c:v>
                </c:pt>
                <c:pt idx="34">
                  <c:v>19-02-2024</c:v>
                </c:pt>
                <c:pt idx="35">
                  <c:v>21-02-2024</c:v>
                </c:pt>
                <c:pt idx="36">
                  <c:v>22-02-2024</c:v>
                </c:pt>
                <c:pt idx="37">
                  <c:v>23-02-2024</c:v>
                </c:pt>
                <c:pt idx="38">
                  <c:v>25-02-2024</c:v>
                </c:pt>
                <c:pt idx="39">
                  <c:v>26-02-2024</c:v>
                </c:pt>
                <c:pt idx="40">
                  <c:v>27-02-2024</c:v>
                </c:pt>
                <c:pt idx="41">
                  <c:v>28-02-2024</c:v>
                </c:pt>
                <c:pt idx="42">
                  <c:v>01-03-2024</c:v>
                </c:pt>
                <c:pt idx="43">
                  <c:v>02-03-2024</c:v>
                </c:pt>
                <c:pt idx="44">
                  <c:v>03-03-2024</c:v>
                </c:pt>
                <c:pt idx="45">
                  <c:v>04-03-2024</c:v>
                </c:pt>
                <c:pt idx="46">
                  <c:v>05-03-2024</c:v>
                </c:pt>
                <c:pt idx="47">
                  <c:v>06-03-2024</c:v>
                </c:pt>
                <c:pt idx="48">
                  <c:v>07-03-2024</c:v>
                </c:pt>
                <c:pt idx="49">
                  <c:v>08-03-2024</c:v>
                </c:pt>
              </c:strCache>
            </c:strRef>
          </c:cat>
          <c:val>
            <c:numRef>
              <c:f>'Q6,Q7'!$H$6:$H$55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2F-4483-A6E2-C1DCB4E0E3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2363072"/>
        <c:axId val="1932388512"/>
        <c:axId val="415328448"/>
      </c:line3DChart>
      <c:catAx>
        <c:axId val="19323630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2388512"/>
        <c:crosses val="autoZero"/>
        <c:auto val="1"/>
        <c:lblAlgn val="ctr"/>
        <c:lblOffset val="100"/>
        <c:noMultiLvlLbl val="0"/>
      </c:catAx>
      <c:valAx>
        <c:axId val="1932388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2363072"/>
        <c:crosses val="autoZero"/>
        <c:crossBetween val="between"/>
      </c:valAx>
      <c:serAx>
        <c:axId val="41532844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2388512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234910</xdr:colOff>
      <xdr:row>51</xdr:row>
      <xdr:rowOff>63410</xdr:rowOff>
    </xdr:from>
    <xdr:to>
      <xdr:col>11</xdr:col>
      <xdr:colOff>235270</xdr:colOff>
      <xdr:row>51</xdr:row>
      <xdr:rowOff>63770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C9ED283C-2C85-4426-45D1-FEA7D12C1274}"/>
                </a:ext>
              </a:extLst>
            </xdr14:cNvPr>
            <xdr14:cNvContentPartPr/>
          </xdr14:nvContentPartPr>
          <xdr14:nvPr macro=""/>
          <xdr14:xfrm>
            <a:off x="8966160" y="9474110"/>
            <a:ext cx="360" cy="36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C9ED283C-2C85-4426-45D1-FEA7D12C127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8960040" y="946799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311150</xdr:colOff>
      <xdr:row>3</xdr:row>
      <xdr:rowOff>19050</xdr:rowOff>
    </xdr:from>
    <xdr:to>
      <xdr:col>8</xdr:col>
      <xdr:colOff>6350</xdr:colOff>
      <xdr:row>18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1D3D62D-CE29-4C06-BB6C-4DD2827157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279400</xdr:colOff>
      <xdr:row>24</xdr:row>
      <xdr:rowOff>12700</xdr:rowOff>
    </xdr:from>
    <xdr:to>
      <xdr:col>8</xdr:col>
      <xdr:colOff>95250</xdr:colOff>
      <xdr:row>38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C5C94D6-B42C-4117-85BA-E8B64A476C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10T18:15:50.9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24575,'0'0'-8191</inkml:trace>
</inkml: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FE6B25A-DF8E-4202-903A-D4A20A79C9FA}" name="Table4" displayName="Table4" ref="B4:F54" totalsRowShown="0" headerRowDxfId="4">
  <autoFilter ref="B4:F54" xr:uid="{3FE6B25A-DF8E-4202-903A-D4A20A79C9FA}">
    <filterColumn colId="0">
      <filters>
        <filter val="North"/>
      </filters>
    </filterColumn>
    <filterColumn colId="1">
      <filters>
        <filter val="Notebook"/>
      </filters>
    </filterColumn>
  </autoFilter>
  <tableColumns count="5">
    <tableColumn id="1" xr3:uid="{A4CD4A85-C981-460A-9961-391BA56EF9FC}" name="Region" dataDxfId="3"/>
    <tableColumn id="2" xr3:uid="{A72BD4B4-6A6C-459C-9BFD-5AA61865E32C}" name="Product" dataDxfId="2"/>
    <tableColumn id="3" xr3:uid="{A1780141-3D1C-4E4E-892A-20A5BF753BB6}" name="Quantity" dataDxfId="1"/>
    <tableColumn id="4" xr3:uid="{49B34842-E518-46B8-968B-0241D94A46BC}" name="UnitPrice" dataDxfId="0"/>
    <tableColumn id="5" xr3:uid="{CA01866F-0A97-444A-B417-6DDB501B08D4}" name="TOTAL SALES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9AF95-0E28-42E1-ABD8-F99AA73D9F44}">
  <dimension ref="A1:H21"/>
  <sheetViews>
    <sheetView tabSelected="1" workbookViewId="0">
      <selection activeCell="B13" sqref="B13:E13"/>
    </sheetView>
  </sheetViews>
  <sheetFormatPr defaultRowHeight="14.5" x14ac:dyDescent="0.35"/>
  <cols>
    <col min="1" max="1" width="12.453125" bestFit="1" customWidth="1"/>
    <col min="2" max="2" width="12.81640625" bestFit="1" customWidth="1"/>
    <col min="4" max="4" width="12.81640625" customWidth="1"/>
  </cols>
  <sheetData>
    <row r="1" spans="1:8" x14ac:dyDescent="0.35">
      <c r="A1" s="9"/>
      <c r="B1" s="10"/>
      <c r="C1" s="10"/>
      <c r="D1" s="10"/>
      <c r="E1" s="10"/>
      <c r="F1" s="10"/>
      <c r="G1" s="10"/>
      <c r="H1" s="11"/>
    </row>
    <row r="2" spans="1:8" x14ac:dyDescent="0.35">
      <c r="A2" s="12"/>
      <c r="H2" s="13"/>
    </row>
    <row r="3" spans="1:8" x14ac:dyDescent="0.35">
      <c r="A3" s="12"/>
      <c r="B3" s="46" t="s">
        <v>0</v>
      </c>
      <c r="C3" s="46"/>
      <c r="D3" s="46"/>
      <c r="H3" s="13"/>
    </row>
    <row r="4" spans="1:8" x14ac:dyDescent="0.35">
      <c r="A4" s="12"/>
      <c r="B4" s="46"/>
      <c r="C4" s="46"/>
      <c r="D4" s="46"/>
      <c r="H4" s="13"/>
    </row>
    <row r="5" spans="1:8" x14ac:dyDescent="0.35">
      <c r="A5" s="12"/>
      <c r="B5" s="46"/>
      <c r="C5" s="46"/>
      <c r="D5" s="46"/>
      <c r="H5" s="13"/>
    </row>
    <row r="6" spans="1:8" x14ac:dyDescent="0.35">
      <c r="A6" s="12"/>
      <c r="H6" s="13"/>
    </row>
    <row r="7" spans="1:8" x14ac:dyDescent="0.35">
      <c r="A7" s="12"/>
      <c r="H7" s="13"/>
    </row>
    <row r="8" spans="1:8" x14ac:dyDescent="0.35">
      <c r="A8" s="12"/>
      <c r="H8" s="13"/>
    </row>
    <row r="9" spans="1:8" ht="17.149999999999999" customHeight="1" x14ac:dyDescent="0.35">
      <c r="A9" s="43" t="s">
        <v>1</v>
      </c>
      <c r="B9" s="44"/>
      <c r="C9" s="44"/>
      <c r="D9" s="44"/>
      <c r="E9" s="44"/>
      <c r="F9" s="44"/>
      <c r="G9" s="44"/>
      <c r="H9" s="45"/>
    </row>
    <row r="10" spans="1:8" x14ac:dyDescent="0.35">
      <c r="A10" s="43"/>
      <c r="B10" s="44"/>
      <c r="C10" s="44"/>
      <c r="D10" s="44"/>
      <c r="E10" s="44"/>
      <c r="F10" s="44"/>
      <c r="G10" s="44"/>
      <c r="H10" s="45"/>
    </row>
    <row r="11" spans="1:8" x14ac:dyDescent="0.35">
      <c r="A11" s="12"/>
      <c r="H11" s="13"/>
    </row>
    <row r="12" spans="1:8" x14ac:dyDescent="0.35">
      <c r="A12" s="36" t="s">
        <v>2</v>
      </c>
      <c r="B12" s="41" t="s">
        <v>3</v>
      </c>
      <c r="C12" s="41"/>
      <c r="D12" s="41"/>
      <c r="E12" s="41"/>
      <c r="H12" s="13"/>
    </row>
    <row r="13" spans="1:8" x14ac:dyDescent="0.35">
      <c r="A13" s="37"/>
      <c r="B13" s="42" t="s">
        <v>4</v>
      </c>
      <c r="C13" s="42"/>
      <c r="D13" s="42"/>
      <c r="E13" s="42"/>
      <c r="H13" s="13"/>
    </row>
    <row r="14" spans="1:8" x14ac:dyDescent="0.35">
      <c r="A14" s="36" t="s">
        <v>5</v>
      </c>
      <c r="B14" s="41" t="s">
        <v>6</v>
      </c>
      <c r="C14" s="41"/>
      <c r="D14" s="41"/>
      <c r="E14" s="41"/>
      <c r="H14" s="13"/>
    </row>
    <row r="15" spans="1:8" x14ac:dyDescent="0.35">
      <c r="A15" s="37"/>
      <c r="B15" s="47" t="s">
        <v>7</v>
      </c>
      <c r="C15" s="47"/>
      <c r="D15" s="47"/>
      <c r="E15" s="47"/>
      <c r="H15" s="13"/>
    </row>
    <row r="16" spans="1:8" x14ac:dyDescent="0.35">
      <c r="A16" s="36" t="s">
        <v>8</v>
      </c>
      <c r="B16" s="41" t="s">
        <v>9</v>
      </c>
      <c r="C16" s="41"/>
      <c r="D16" s="41"/>
      <c r="E16" s="41"/>
      <c r="H16" s="13"/>
    </row>
    <row r="17" spans="1:8" x14ac:dyDescent="0.35">
      <c r="A17" s="38"/>
      <c r="B17" s="42" t="s">
        <v>10</v>
      </c>
      <c r="C17" s="42"/>
      <c r="D17" s="42"/>
      <c r="E17" s="42"/>
      <c r="H17" s="13"/>
    </row>
    <row r="18" spans="1:8" x14ac:dyDescent="0.35">
      <c r="A18" s="38"/>
      <c r="B18" s="42" t="s">
        <v>11</v>
      </c>
      <c r="C18" s="42"/>
      <c r="D18" s="42"/>
      <c r="E18" s="42"/>
      <c r="H18" s="13"/>
    </row>
    <row r="19" spans="1:8" x14ac:dyDescent="0.35">
      <c r="A19" s="12"/>
      <c r="H19" s="13"/>
    </row>
    <row r="20" spans="1:8" x14ac:dyDescent="0.35">
      <c r="A20" s="12"/>
      <c r="H20" s="13"/>
    </row>
    <row r="21" spans="1:8" ht="15" thickBot="1" x14ac:dyDescent="0.4">
      <c r="A21" s="14"/>
      <c r="B21" s="15"/>
      <c r="C21" s="15"/>
      <c r="D21" s="15"/>
      <c r="E21" s="15"/>
      <c r="F21" s="15"/>
      <c r="G21" s="15"/>
      <c r="H21" s="16"/>
    </row>
  </sheetData>
  <mergeCells count="9">
    <mergeCell ref="B16:E16"/>
    <mergeCell ref="B17:E17"/>
    <mergeCell ref="B18:E18"/>
    <mergeCell ref="A9:H10"/>
    <mergeCell ref="B3:D5"/>
    <mergeCell ref="B12:E12"/>
    <mergeCell ref="B13:E13"/>
    <mergeCell ref="B14:E14"/>
    <mergeCell ref="B15:E1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3D75C-B9C3-468F-9ED1-3DDBC66ADD63}">
  <dimension ref="A1:G11"/>
  <sheetViews>
    <sheetView workbookViewId="0">
      <selection sqref="A1:G11"/>
    </sheetView>
  </sheetViews>
  <sheetFormatPr defaultRowHeight="14.5" x14ac:dyDescent="0.35"/>
  <cols>
    <col min="2" max="2" width="6.453125" customWidth="1"/>
    <col min="4" max="4" width="14.81640625" customWidth="1"/>
  </cols>
  <sheetData>
    <row r="1" spans="1:7" x14ac:dyDescent="0.35">
      <c r="A1" s="54"/>
      <c r="B1" s="10"/>
      <c r="C1" s="10"/>
      <c r="D1" s="10"/>
      <c r="E1" s="10"/>
      <c r="F1" s="10"/>
      <c r="G1" s="11"/>
    </row>
    <row r="2" spans="1:7" x14ac:dyDescent="0.35">
      <c r="A2" s="48"/>
      <c r="B2" s="59" t="s">
        <v>12</v>
      </c>
      <c r="C2" s="59"/>
      <c r="D2" s="59"/>
      <c r="E2" s="59"/>
      <c r="F2" s="59"/>
      <c r="G2" s="60"/>
    </row>
    <row r="3" spans="1:7" ht="17.149999999999999" customHeight="1" x14ac:dyDescent="0.35">
      <c r="A3" s="48"/>
      <c r="B3" s="59"/>
      <c r="C3" s="59"/>
      <c r="D3" s="59"/>
      <c r="E3" s="59"/>
      <c r="F3" s="59"/>
      <c r="G3" s="60"/>
    </row>
    <row r="4" spans="1:7" x14ac:dyDescent="0.35">
      <c r="A4" s="48"/>
      <c r="E4" s="49"/>
      <c r="F4" s="49"/>
      <c r="G4" s="50"/>
    </row>
    <row r="5" spans="1:7" ht="17" x14ac:dyDescent="0.5">
      <c r="A5" s="48"/>
      <c r="B5" s="61" t="s">
        <v>13</v>
      </c>
      <c r="C5" s="62"/>
      <c r="D5" s="20" t="s">
        <v>14</v>
      </c>
      <c r="E5" s="49"/>
      <c r="F5" s="49"/>
      <c r="G5" s="50"/>
    </row>
    <row r="6" spans="1:7" ht="14.5" customHeight="1" x14ac:dyDescent="0.35">
      <c r="A6" s="48"/>
      <c r="B6" s="55" t="s">
        <v>15</v>
      </c>
      <c r="C6" s="56"/>
      <c r="D6" s="1">
        <v>500000</v>
      </c>
      <c r="E6" s="49"/>
      <c r="F6" s="49"/>
      <c r="G6" s="50"/>
    </row>
    <row r="7" spans="1:7" ht="14.5" customHeight="1" x14ac:dyDescent="0.35">
      <c r="A7" s="48"/>
      <c r="B7" s="17" t="s">
        <v>16</v>
      </c>
      <c r="C7" s="17"/>
      <c r="D7" s="1">
        <v>10500</v>
      </c>
      <c r="E7" s="49"/>
      <c r="F7" s="49"/>
      <c r="G7" s="50"/>
    </row>
    <row r="8" spans="1:7" ht="14.5" customHeight="1" x14ac:dyDescent="0.35">
      <c r="A8" s="48"/>
      <c r="B8" s="55" t="s">
        <v>17</v>
      </c>
      <c r="C8" s="56"/>
      <c r="D8" s="1">
        <v>25000</v>
      </c>
      <c r="E8" s="49"/>
      <c r="F8" s="49"/>
      <c r="G8" s="50"/>
    </row>
    <row r="9" spans="1:7" ht="58" customHeight="1" x14ac:dyDescent="0.5">
      <c r="A9" s="48"/>
      <c r="B9" s="57" t="s">
        <v>18</v>
      </c>
      <c r="C9" s="58"/>
      <c r="D9" s="21">
        <f>SUM(D6,D7)</f>
        <v>510500</v>
      </c>
      <c r="E9" s="49"/>
      <c r="F9" s="49"/>
      <c r="G9" s="50"/>
    </row>
    <row r="10" spans="1:7" x14ac:dyDescent="0.35">
      <c r="A10" s="48"/>
      <c r="B10" s="49"/>
      <c r="C10" s="49"/>
      <c r="D10" s="49"/>
      <c r="E10" s="49"/>
      <c r="F10" s="49"/>
      <c r="G10" s="50"/>
    </row>
    <row r="11" spans="1:7" ht="15" thickBot="1" x14ac:dyDescent="0.4">
      <c r="A11" s="51"/>
      <c r="B11" s="52"/>
      <c r="C11" s="52"/>
      <c r="D11" s="52"/>
      <c r="E11" s="52"/>
      <c r="F11" s="52"/>
      <c r="G11" s="53"/>
    </row>
  </sheetData>
  <mergeCells count="8">
    <mergeCell ref="A10:G11"/>
    <mergeCell ref="E4:G9"/>
    <mergeCell ref="A1:A9"/>
    <mergeCell ref="B8:C8"/>
    <mergeCell ref="B9:C9"/>
    <mergeCell ref="B2:G3"/>
    <mergeCell ref="B5:C5"/>
    <mergeCell ref="B6:C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4F863-00DE-4734-9978-DD1586B06D01}">
  <dimension ref="A1:I12"/>
  <sheetViews>
    <sheetView workbookViewId="0">
      <selection activeCell="D10" sqref="D10"/>
    </sheetView>
  </sheetViews>
  <sheetFormatPr defaultRowHeight="14.5" x14ac:dyDescent="0.35"/>
  <sheetData>
    <row r="1" spans="1:9" x14ac:dyDescent="0.35">
      <c r="A1" s="9"/>
      <c r="B1" s="10"/>
      <c r="C1" s="10"/>
      <c r="D1" s="10"/>
      <c r="E1" s="10"/>
      <c r="F1" s="10"/>
      <c r="G1" s="10"/>
      <c r="H1" s="10"/>
      <c r="I1" s="11"/>
    </row>
    <row r="2" spans="1:9" ht="14.5" customHeight="1" x14ac:dyDescent="0.35">
      <c r="A2" s="64" t="s">
        <v>19</v>
      </c>
      <c r="B2" s="65"/>
      <c r="C2" s="65"/>
      <c r="D2" s="65"/>
      <c r="E2" s="65"/>
      <c r="F2" s="65"/>
      <c r="G2" s="65"/>
      <c r="H2" s="65"/>
      <c r="I2" s="66"/>
    </row>
    <row r="3" spans="1:9" ht="14.5" customHeight="1" x14ac:dyDescent="0.35">
      <c r="A3" s="64"/>
      <c r="B3" s="65"/>
      <c r="C3" s="65"/>
      <c r="D3" s="65"/>
      <c r="E3" s="65"/>
      <c r="F3" s="65"/>
      <c r="G3" s="65"/>
      <c r="H3" s="65"/>
      <c r="I3" s="66"/>
    </row>
    <row r="4" spans="1:9" ht="14.5" customHeight="1" x14ac:dyDescent="0.35">
      <c r="A4" s="64"/>
      <c r="B4" s="65"/>
      <c r="C4" s="65"/>
      <c r="D4" s="65"/>
      <c r="E4" s="65"/>
      <c r="F4" s="65"/>
      <c r="G4" s="65"/>
      <c r="H4" s="65"/>
      <c r="I4" s="66"/>
    </row>
    <row r="5" spans="1:9" x14ac:dyDescent="0.35">
      <c r="A5" s="12"/>
      <c r="I5" s="13"/>
    </row>
    <row r="6" spans="1:9" ht="17" x14ac:dyDescent="0.35">
      <c r="A6" s="12"/>
      <c r="B6" s="22" t="s">
        <v>20</v>
      </c>
      <c r="C6" s="22" t="s">
        <v>14</v>
      </c>
      <c r="D6" s="22" t="s">
        <v>21</v>
      </c>
      <c r="E6" s="8"/>
      <c r="I6" s="13"/>
    </row>
    <row r="7" spans="1:9" x14ac:dyDescent="0.35">
      <c r="A7" s="12"/>
      <c r="B7" s="6" t="s">
        <v>22</v>
      </c>
      <c r="C7" s="6">
        <v>90</v>
      </c>
      <c r="D7" s="6">
        <v>1000</v>
      </c>
      <c r="E7" s="39"/>
      <c r="I7" s="13"/>
    </row>
    <row r="8" spans="1:9" x14ac:dyDescent="0.35">
      <c r="A8" s="12"/>
      <c r="B8" s="6" t="s">
        <v>23</v>
      </c>
      <c r="C8" s="6">
        <v>150</v>
      </c>
      <c r="D8" s="6">
        <v>1200</v>
      </c>
      <c r="E8" s="39"/>
      <c r="I8" s="13"/>
    </row>
    <row r="9" spans="1:9" x14ac:dyDescent="0.35">
      <c r="A9" s="12"/>
      <c r="B9" s="6" t="s">
        <v>24</v>
      </c>
      <c r="C9" s="6">
        <v>250</v>
      </c>
      <c r="D9" s="6">
        <v>1500</v>
      </c>
      <c r="E9" s="39"/>
      <c r="I9" s="13"/>
    </row>
    <row r="10" spans="1:9" ht="23.5" x14ac:dyDescent="0.55000000000000004">
      <c r="A10" s="12"/>
      <c r="B10" s="63" t="s">
        <v>25</v>
      </c>
      <c r="C10" s="63"/>
      <c r="D10" s="18">
        <f>AVERAGEIFS(D7:D9,C7:C9,"&gt;100",C7:C9,"&lt;300")</f>
        <v>1350</v>
      </c>
      <c r="I10" s="13"/>
    </row>
    <row r="11" spans="1:9" x14ac:dyDescent="0.35">
      <c r="A11" s="12"/>
      <c r="I11" s="13"/>
    </row>
    <row r="12" spans="1:9" ht="15" thickBot="1" x14ac:dyDescent="0.4">
      <c r="A12" s="14"/>
      <c r="B12" s="15"/>
      <c r="C12" s="15"/>
      <c r="D12" s="15"/>
      <c r="E12" s="15"/>
      <c r="F12" s="15"/>
      <c r="G12" s="15"/>
      <c r="H12" s="15"/>
      <c r="I12" s="16"/>
    </row>
  </sheetData>
  <mergeCells count="2">
    <mergeCell ref="B10:C10"/>
    <mergeCell ref="A2:I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F1240-352E-4FCD-9964-ABBA3D411E6B}">
  <dimension ref="B1:L55"/>
  <sheetViews>
    <sheetView topLeftCell="A42" workbookViewId="0">
      <selection activeCell="F55" sqref="F55"/>
    </sheetView>
  </sheetViews>
  <sheetFormatPr defaultRowHeight="14.5" x14ac:dyDescent="0.35"/>
  <cols>
    <col min="1" max="1" width="7.1796875" customWidth="1"/>
    <col min="8" max="8" width="10.1796875" bestFit="1" customWidth="1"/>
    <col min="9" max="9" width="11.453125" bestFit="1" customWidth="1"/>
  </cols>
  <sheetData>
    <row r="1" spans="2:12" ht="17" x14ac:dyDescent="0.5">
      <c r="B1" s="67" t="s">
        <v>26</v>
      </c>
      <c r="C1" s="67"/>
      <c r="D1" s="67"/>
      <c r="E1" s="67"/>
      <c r="F1" s="67"/>
      <c r="G1" s="67"/>
      <c r="H1" s="67"/>
      <c r="I1" s="67"/>
      <c r="L1" s="19"/>
    </row>
    <row r="3" spans="2:12" x14ac:dyDescent="0.35">
      <c r="B3" s="24" t="s">
        <v>27</v>
      </c>
      <c r="C3" s="24" t="s">
        <v>28</v>
      </c>
      <c r="D3" s="24" t="s">
        <v>29</v>
      </c>
      <c r="E3" s="24" t="s">
        <v>30</v>
      </c>
      <c r="F3" s="24" t="s">
        <v>31</v>
      </c>
      <c r="G3" s="24" t="s">
        <v>32</v>
      </c>
      <c r="H3" s="24" t="s">
        <v>33</v>
      </c>
      <c r="I3" s="24" t="s">
        <v>34</v>
      </c>
      <c r="J3" s="23"/>
    </row>
    <row r="4" spans="2:12" x14ac:dyDescent="0.35">
      <c r="B4" s="25">
        <v>1001</v>
      </c>
      <c r="C4" s="26" t="s">
        <v>35</v>
      </c>
      <c r="D4" s="26" t="s">
        <v>36</v>
      </c>
      <c r="E4" s="26" t="s">
        <v>37</v>
      </c>
      <c r="F4" s="25">
        <v>10</v>
      </c>
      <c r="G4" s="25">
        <v>50</v>
      </c>
      <c r="H4" s="27">
        <v>45413</v>
      </c>
      <c r="I4" s="28">
        <f>F4*G4</f>
        <v>500</v>
      </c>
    </row>
    <row r="5" spans="2:12" x14ac:dyDescent="0.35">
      <c r="B5" s="25">
        <v>1002</v>
      </c>
      <c r="C5" s="26" t="s">
        <v>38</v>
      </c>
      <c r="D5" s="26" t="s">
        <v>39</v>
      </c>
      <c r="E5" s="26" t="s">
        <v>40</v>
      </c>
      <c r="F5" s="25">
        <v>20</v>
      </c>
      <c r="G5" s="25">
        <v>10</v>
      </c>
      <c r="H5" s="27">
        <v>45444</v>
      </c>
      <c r="I5" s="28">
        <f t="shared" ref="I5:I51" si="0">F5*G5</f>
        <v>200</v>
      </c>
    </row>
    <row r="6" spans="2:12" x14ac:dyDescent="0.35">
      <c r="B6" s="25">
        <v>1003</v>
      </c>
      <c r="C6" s="26" t="s">
        <v>41</v>
      </c>
      <c r="D6" s="26" t="s">
        <v>42</v>
      </c>
      <c r="E6" s="26" t="s">
        <v>43</v>
      </c>
      <c r="F6" s="25">
        <v>15</v>
      </c>
      <c r="G6" s="25">
        <v>25</v>
      </c>
      <c r="H6" s="27">
        <v>45474</v>
      </c>
      <c r="I6" s="28">
        <f t="shared" si="0"/>
        <v>375</v>
      </c>
    </row>
    <row r="7" spans="2:12" x14ac:dyDescent="0.35">
      <c r="B7" s="25">
        <v>1004</v>
      </c>
      <c r="C7" s="26" t="s">
        <v>44</v>
      </c>
      <c r="D7" s="26" t="s">
        <v>45</v>
      </c>
      <c r="E7" s="26" t="s">
        <v>37</v>
      </c>
      <c r="F7" s="25">
        <v>5</v>
      </c>
      <c r="G7" s="25">
        <v>50</v>
      </c>
      <c r="H7" s="27">
        <v>45505</v>
      </c>
      <c r="I7" s="28">
        <f t="shared" si="0"/>
        <v>250</v>
      </c>
    </row>
    <row r="8" spans="2:12" x14ac:dyDescent="0.35">
      <c r="B8" s="25">
        <v>1005</v>
      </c>
      <c r="C8" s="26" t="s">
        <v>46</v>
      </c>
      <c r="D8" s="26" t="s">
        <v>36</v>
      </c>
      <c r="E8" s="26" t="s">
        <v>47</v>
      </c>
      <c r="F8" s="25">
        <v>30</v>
      </c>
      <c r="G8" s="25">
        <v>5</v>
      </c>
      <c r="H8" s="27">
        <v>45566</v>
      </c>
      <c r="I8" s="28">
        <f t="shared" si="0"/>
        <v>150</v>
      </c>
    </row>
    <row r="9" spans="2:12" x14ac:dyDescent="0.35">
      <c r="B9" s="25">
        <v>1006</v>
      </c>
      <c r="C9" s="26" t="s">
        <v>48</v>
      </c>
      <c r="D9" s="26" t="s">
        <v>39</v>
      </c>
      <c r="E9" s="26" t="s">
        <v>37</v>
      </c>
      <c r="F9" s="25">
        <v>12</v>
      </c>
      <c r="G9" s="25">
        <v>50</v>
      </c>
      <c r="H9" s="27">
        <v>45597</v>
      </c>
      <c r="I9" s="28">
        <f t="shared" si="0"/>
        <v>600</v>
      </c>
    </row>
    <row r="10" spans="2:12" x14ac:dyDescent="0.35">
      <c r="B10" s="25">
        <v>1007</v>
      </c>
      <c r="C10" s="26" t="s">
        <v>49</v>
      </c>
      <c r="D10" s="26" t="s">
        <v>42</v>
      </c>
      <c r="E10" s="26" t="s">
        <v>50</v>
      </c>
      <c r="F10" s="25">
        <v>25</v>
      </c>
      <c r="G10" s="25">
        <v>8</v>
      </c>
      <c r="H10" s="25" t="s">
        <v>51</v>
      </c>
      <c r="I10" s="28">
        <f t="shared" si="0"/>
        <v>200</v>
      </c>
    </row>
    <row r="11" spans="2:12" x14ac:dyDescent="0.35">
      <c r="B11" s="25">
        <v>1008</v>
      </c>
      <c r="C11" s="26" t="s">
        <v>52</v>
      </c>
      <c r="D11" s="26" t="s">
        <v>45</v>
      </c>
      <c r="E11" s="26" t="s">
        <v>40</v>
      </c>
      <c r="F11" s="25">
        <v>18</v>
      </c>
      <c r="G11" s="25">
        <v>10</v>
      </c>
      <c r="H11" s="25" t="s">
        <v>53</v>
      </c>
      <c r="I11" s="28">
        <f t="shared" si="0"/>
        <v>180</v>
      </c>
    </row>
    <row r="12" spans="2:12" x14ac:dyDescent="0.35">
      <c r="B12" s="25">
        <v>1009</v>
      </c>
      <c r="C12" s="26" t="s">
        <v>54</v>
      </c>
      <c r="D12" s="26" t="s">
        <v>36</v>
      </c>
      <c r="E12" s="26" t="s">
        <v>43</v>
      </c>
      <c r="F12" s="25">
        <v>22</v>
      </c>
      <c r="G12" s="25">
        <v>25</v>
      </c>
      <c r="H12" s="25" t="s">
        <v>55</v>
      </c>
      <c r="I12" s="28">
        <f t="shared" si="0"/>
        <v>550</v>
      </c>
    </row>
    <row r="13" spans="2:12" x14ac:dyDescent="0.35">
      <c r="B13" s="25">
        <v>1010</v>
      </c>
      <c r="C13" s="26" t="s">
        <v>56</v>
      </c>
      <c r="D13" s="26" t="s">
        <v>39</v>
      </c>
      <c r="E13" s="26" t="s">
        <v>37</v>
      </c>
      <c r="F13" s="25">
        <v>8</v>
      </c>
      <c r="G13" s="25">
        <v>50</v>
      </c>
      <c r="H13" s="25" t="s">
        <v>57</v>
      </c>
      <c r="I13" s="28">
        <f t="shared" si="0"/>
        <v>400</v>
      </c>
    </row>
    <row r="14" spans="2:12" x14ac:dyDescent="0.35">
      <c r="B14" s="25">
        <v>1011</v>
      </c>
      <c r="C14" s="26" t="s">
        <v>58</v>
      </c>
      <c r="D14" s="26" t="s">
        <v>42</v>
      </c>
      <c r="E14" s="26" t="s">
        <v>47</v>
      </c>
      <c r="F14" s="25">
        <v>40</v>
      </c>
      <c r="G14" s="25">
        <v>5</v>
      </c>
      <c r="H14" s="25" t="s">
        <v>59</v>
      </c>
      <c r="I14" s="28">
        <f t="shared" si="0"/>
        <v>200</v>
      </c>
    </row>
    <row r="15" spans="2:12" x14ac:dyDescent="0.35">
      <c r="B15" s="25">
        <v>1012</v>
      </c>
      <c r="C15" s="26" t="s">
        <v>60</v>
      </c>
      <c r="D15" s="26" t="s">
        <v>45</v>
      </c>
      <c r="E15" s="26" t="s">
        <v>50</v>
      </c>
      <c r="F15" s="25">
        <v>35</v>
      </c>
      <c r="G15" s="25">
        <v>8</v>
      </c>
      <c r="H15" s="25" t="s">
        <v>61</v>
      </c>
      <c r="I15" s="28">
        <f t="shared" si="0"/>
        <v>280</v>
      </c>
    </row>
    <row r="16" spans="2:12" x14ac:dyDescent="0.35">
      <c r="B16" s="25">
        <v>1013</v>
      </c>
      <c r="C16" s="26" t="s">
        <v>62</v>
      </c>
      <c r="D16" s="26" t="s">
        <v>36</v>
      </c>
      <c r="E16" s="26" t="s">
        <v>37</v>
      </c>
      <c r="F16" s="25">
        <v>14</v>
      </c>
      <c r="G16" s="25">
        <v>50</v>
      </c>
      <c r="H16" s="25" t="s">
        <v>63</v>
      </c>
      <c r="I16" s="28">
        <f t="shared" si="0"/>
        <v>700</v>
      </c>
    </row>
    <row r="17" spans="2:9" x14ac:dyDescent="0.35">
      <c r="B17" s="25">
        <v>1014</v>
      </c>
      <c r="C17" s="26" t="s">
        <v>64</v>
      </c>
      <c r="D17" s="26" t="s">
        <v>39</v>
      </c>
      <c r="E17" s="26" t="s">
        <v>40</v>
      </c>
      <c r="F17" s="25">
        <v>28</v>
      </c>
      <c r="G17" s="25">
        <v>10</v>
      </c>
      <c r="H17" s="25" t="s">
        <v>65</v>
      </c>
      <c r="I17" s="28">
        <f t="shared" si="0"/>
        <v>280</v>
      </c>
    </row>
    <row r="18" spans="2:9" x14ac:dyDescent="0.35">
      <c r="B18" s="25">
        <v>1015</v>
      </c>
      <c r="C18" s="26" t="s">
        <v>66</v>
      </c>
      <c r="D18" s="26" t="s">
        <v>42</v>
      </c>
      <c r="E18" s="26" t="s">
        <v>43</v>
      </c>
      <c r="F18" s="25">
        <v>12</v>
      </c>
      <c r="G18" s="25">
        <v>25</v>
      </c>
      <c r="H18" s="25" t="s">
        <v>67</v>
      </c>
      <c r="I18" s="28">
        <f t="shared" si="0"/>
        <v>300</v>
      </c>
    </row>
    <row r="19" spans="2:9" x14ac:dyDescent="0.35">
      <c r="B19" s="25">
        <v>1016</v>
      </c>
      <c r="C19" s="26" t="s">
        <v>68</v>
      </c>
      <c r="D19" s="26" t="s">
        <v>45</v>
      </c>
      <c r="E19" s="26" t="s">
        <v>47</v>
      </c>
      <c r="F19" s="25">
        <v>25</v>
      </c>
      <c r="G19" s="25">
        <v>5</v>
      </c>
      <c r="H19" s="25" t="s">
        <v>69</v>
      </c>
      <c r="I19" s="28">
        <f t="shared" si="0"/>
        <v>125</v>
      </c>
    </row>
    <row r="20" spans="2:9" x14ac:dyDescent="0.35">
      <c r="B20" s="25">
        <v>1017</v>
      </c>
      <c r="C20" s="26" t="s">
        <v>70</v>
      </c>
      <c r="D20" s="26" t="s">
        <v>36</v>
      </c>
      <c r="E20" s="26" t="s">
        <v>50</v>
      </c>
      <c r="F20" s="25">
        <v>20</v>
      </c>
      <c r="G20" s="25">
        <v>8</v>
      </c>
      <c r="H20" s="25" t="s">
        <v>71</v>
      </c>
      <c r="I20" s="28">
        <f t="shared" si="0"/>
        <v>160</v>
      </c>
    </row>
    <row r="21" spans="2:9" x14ac:dyDescent="0.35">
      <c r="B21" s="25">
        <v>1018</v>
      </c>
      <c r="C21" s="26" t="s">
        <v>72</v>
      </c>
      <c r="D21" s="26" t="s">
        <v>39</v>
      </c>
      <c r="E21" s="26" t="s">
        <v>37</v>
      </c>
      <c r="F21" s="25">
        <v>10</v>
      </c>
      <c r="G21" s="25">
        <v>50</v>
      </c>
      <c r="H21" s="25" t="s">
        <v>73</v>
      </c>
      <c r="I21" s="28">
        <f t="shared" si="0"/>
        <v>500</v>
      </c>
    </row>
    <row r="22" spans="2:9" x14ac:dyDescent="0.35">
      <c r="B22" s="25">
        <v>1019</v>
      </c>
      <c r="C22" s="26" t="s">
        <v>74</v>
      </c>
      <c r="D22" s="26" t="s">
        <v>42</v>
      </c>
      <c r="E22" s="26" t="s">
        <v>40</v>
      </c>
      <c r="F22" s="25">
        <v>15</v>
      </c>
      <c r="G22" s="25">
        <v>10</v>
      </c>
      <c r="H22" s="25" t="s">
        <v>75</v>
      </c>
      <c r="I22" s="28">
        <f t="shared" si="0"/>
        <v>150</v>
      </c>
    </row>
    <row r="23" spans="2:9" x14ac:dyDescent="0.35">
      <c r="B23" s="25">
        <v>1020</v>
      </c>
      <c r="C23" s="26" t="s">
        <v>76</v>
      </c>
      <c r="D23" s="26" t="s">
        <v>45</v>
      </c>
      <c r="E23" s="26" t="s">
        <v>43</v>
      </c>
      <c r="F23" s="25">
        <v>18</v>
      </c>
      <c r="G23" s="25">
        <v>25</v>
      </c>
      <c r="H23" s="27">
        <v>45293</v>
      </c>
      <c r="I23" s="28">
        <f t="shared" si="0"/>
        <v>450</v>
      </c>
    </row>
    <row r="24" spans="2:9" x14ac:dyDescent="0.35">
      <c r="B24" s="25">
        <v>1021</v>
      </c>
      <c r="C24" s="26" t="s">
        <v>77</v>
      </c>
      <c r="D24" s="26" t="s">
        <v>36</v>
      </c>
      <c r="E24" s="26" t="s">
        <v>37</v>
      </c>
      <c r="F24" s="25">
        <v>9</v>
      </c>
      <c r="G24" s="25">
        <v>50</v>
      </c>
      <c r="H24" s="27">
        <v>45324</v>
      </c>
      <c r="I24" s="28">
        <f t="shared" si="0"/>
        <v>450</v>
      </c>
    </row>
    <row r="25" spans="2:9" x14ac:dyDescent="0.35">
      <c r="B25" s="25">
        <v>1022</v>
      </c>
      <c r="C25" s="26" t="s">
        <v>78</v>
      </c>
      <c r="D25" s="26" t="s">
        <v>39</v>
      </c>
      <c r="E25" s="26" t="s">
        <v>47</v>
      </c>
      <c r="F25" s="25">
        <v>35</v>
      </c>
      <c r="G25" s="25">
        <v>5</v>
      </c>
      <c r="H25" s="27">
        <v>45353</v>
      </c>
      <c r="I25" s="28">
        <f t="shared" si="0"/>
        <v>175</v>
      </c>
    </row>
    <row r="26" spans="2:9" x14ac:dyDescent="0.35">
      <c r="B26" s="25">
        <v>1023</v>
      </c>
      <c r="C26" s="26" t="s">
        <v>79</v>
      </c>
      <c r="D26" s="26" t="s">
        <v>42</v>
      </c>
      <c r="E26" s="26" t="s">
        <v>50</v>
      </c>
      <c r="F26" s="25">
        <v>30</v>
      </c>
      <c r="G26" s="25">
        <v>8</v>
      </c>
      <c r="H26" s="27">
        <v>45384</v>
      </c>
      <c r="I26" s="28">
        <f t="shared" si="0"/>
        <v>240</v>
      </c>
    </row>
    <row r="27" spans="2:9" x14ac:dyDescent="0.35">
      <c r="B27" s="25">
        <v>1024</v>
      </c>
      <c r="C27" s="26" t="s">
        <v>80</v>
      </c>
      <c r="D27" s="26" t="s">
        <v>45</v>
      </c>
      <c r="E27" s="26" t="s">
        <v>37</v>
      </c>
      <c r="F27" s="25">
        <v>11</v>
      </c>
      <c r="G27" s="25">
        <v>50</v>
      </c>
      <c r="H27" s="27">
        <v>45445</v>
      </c>
      <c r="I27" s="28">
        <f t="shared" si="0"/>
        <v>550</v>
      </c>
    </row>
    <row r="28" spans="2:9" x14ac:dyDescent="0.35">
      <c r="B28" s="25">
        <v>1025</v>
      </c>
      <c r="C28" s="26" t="s">
        <v>81</v>
      </c>
      <c r="D28" s="26" t="s">
        <v>36</v>
      </c>
      <c r="E28" s="26" t="s">
        <v>40</v>
      </c>
      <c r="F28" s="25">
        <v>14</v>
      </c>
      <c r="G28" s="25">
        <v>10</v>
      </c>
      <c r="H28" s="27">
        <v>45475</v>
      </c>
      <c r="I28" s="28">
        <f t="shared" si="0"/>
        <v>140</v>
      </c>
    </row>
    <row r="29" spans="2:9" x14ac:dyDescent="0.35">
      <c r="B29" s="25">
        <v>1026</v>
      </c>
      <c r="C29" s="26" t="s">
        <v>82</v>
      </c>
      <c r="D29" s="26" t="s">
        <v>39</v>
      </c>
      <c r="E29" s="26" t="s">
        <v>43</v>
      </c>
      <c r="F29" s="25">
        <v>16</v>
      </c>
      <c r="G29" s="25">
        <v>25</v>
      </c>
      <c r="H29" s="27">
        <v>45506</v>
      </c>
      <c r="I29" s="28">
        <f t="shared" si="0"/>
        <v>400</v>
      </c>
    </row>
    <row r="30" spans="2:9" x14ac:dyDescent="0.35">
      <c r="B30" s="25">
        <v>1027</v>
      </c>
      <c r="C30" s="26" t="s">
        <v>83</v>
      </c>
      <c r="D30" s="26" t="s">
        <v>42</v>
      </c>
      <c r="E30" s="26" t="s">
        <v>47</v>
      </c>
      <c r="F30" s="25">
        <v>22</v>
      </c>
      <c r="G30" s="25">
        <v>5</v>
      </c>
      <c r="H30" s="27">
        <v>45537</v>
      </c>
      <c r="I30" s="28">
        <f t="shared" si="0"/>
        <v>110</v>
      </c>
    </row>
    <row r="31" spans="2:9" x14ac:dyDescent="0.35">
      <c r="B31" s="25">
        <v>1028</v>
      </c>
      <c r="C31" s="26" t="s">
        <v>84</v>
      </c>
      <c r="D31" s="26" t="s">
        <v>45</v>
      </c>
      <c r="E31" s="26" t="s">
        <v>50</v>
      </c>
      <c r="F31" s="25">
        <v>27</v>
      </c>
      <c r="G31" s="25">
        <v>8</v>
      </c>
      <c r="H31" s="27">
        <v>45567</v>
      </c>
      <c r="I31" s="28">
        <f t="shared" si="0"/>
        <v>216</v>
      </c>
    </row>
    <row r="32" spans="2:9" x14ac:dyDescent="0.35">
      <c r="B32" s="25">
        <v>1029</v>
      </c>
      <c r="C32" s="26" t="s">
        <v>85</v>
      </c>
      <c r="D32" s="26" t="s">
        <v>36</v>
      </c>
      <c r="E32" s="26" t="s">
        <v>37</v>
      </c>
      <c r="F32" s="25">
        <v>13</v>
      </c>
      <c r="G32" s="25">
        <v>50</v>
      </c>
      <c r="H32" s="27">
        <v>45628</v>
      </c>
      <c r="I32" s="28">
        <f t="shared" si="0"/>
        <v>650</v>
      </c>
    </row>
    <row r="33" spans="2:9" x14ac:dyDescent="0.35">
      <c r="B33" s="25">
        <v>1030</v>
      </c>
      <c r="C33" s="26" t="s">
        <v>86</v>
      </c>
      <c r="D33" s="26" t="s">
        <v>39</v>
      </c>
      <c r="E33" s="26" t="s">
        <v>40</v>
      </c>
      <c r="F33" s="25">
        <v>32</v>
      </c>
      <c r="G33" s="25">
        <v>10</v>
      </c>
      <c r="H33" s="25" t="s">
        <v>87</v>
      </c>
      <c r="I33" s="28">
        <f t="shared" si="0"/>
        <v>320</v>
      </c>
    </row>
    <row r="34" spans="2:9" x14ac:dyDescent="0.35">
      <c r="B34" s="25">
        <v>1031</v>
      </c>
      <c r="C34" s="26" t="s">
        <v>88</v>
      </c>
      <c r="D34" s="26" t="s">
        <v>42</v>
      </c>
      <c r="E34" s="26" t="s">
        <v>43</v>
      </c>
      <c r="F34" s="25">
        <v>10</v>
      </c>
      <c r="G34" s="25">
        <v>25</v>
      </c>
      <c r="H34" s="25" t="s">
        <v>89</v>
      </c>
      <c r="I34" s="28">
        <f t="shared" si="0"/>
        <v>250</v>
      </c>
    </row>
    <row r="35" spans="2:9" x14ac:dyDescent="0.35">
      <c r="B35" s="25">
        <v>1032</v>
      </c>
      <c r="C35" s="26" t="s">
        <v>90</v>
      </c>
      <c r="D35" s="26" t="s">
        <v>45</v>
      </c>
      <c r="E35" s="26" t="s">
        <v>47</v>
      </c>
      <c r="F35" s="25">
        <v>18</v>
      </c>
      <c r="G35" s="25">
        <v>5</v>
      </c>
      <c r="H35" s="25" t="s">
        <v>91</v>
      </c>
      <c r="I35" s="28">
        <f t="shared" si="0"/>
        <v>90</v>
      </c>
    </row>
    <row r="36" spans="2:9" x14ac:dyDescent="0.35">
      <c r="B36" s="25">
        <v>1033</v>
      </c>
      <c r="C36" s="26" t="s">
        <v>92</v>
      </c>
      <c r="D36" s="26" t="s">
        <v>36</v>
      </c>
      <c r="E36" s="26" t="s">
        <v>50</v>
      </c>
      <c r="F36" s="25">
        <v>22</v>
      </c>
      <c r="G36" s="25">
        <v>8</v>
      </c>
      <c r="H36" s="25" t="s">
        <v>93</v>
      </c>
      <c r="I36" s="28">
        <f t="shared" si="0"/>
        <v>176</v>
      </c>
    </row>
    <row r="37" spans="2:9" x14ac:dyDescent="0.35">
      <c r="B37" s="25">
        <v>1034</v>
      </c>
      <c r="C37" s="26" t="s">
        <v>94</v>
      </c>
      <c r="D37" s="26" t="s">
        <v>39</v>
      </c>
      <c r="E37" s="26" t="s">
        <v>37</v>
      </c>
      <c r="F37" s="25">
        <v>17</v>
      </c>
      <c r="G37" s="25">
        <v>50</v>
      </c>
      <c r="H37" s="25" t="s">
        <v>95</v>
      </c>
      <c r="I37" s="28">
        <f t="shared" si="0"/>
        <v>850</v>
      </c>
    </row>
    <row r="38" spans="2:9" x14ac:dyDescent="0.35">
      <c r="B38" s="25">
        <v>1035</v>
      </c>
      <c r="C38" s="26" t="s">
        <v>96</v>
      </c>
      <c r="D38" s="26" t="s">
        <v>42</v>
      </c>
      <c r="E38" s="26" t="s">
        <v>40</v>
      </c>
      <c r="F38" s="25">
        <v>19</v>
      </c>
      <c r="G38" s="25">
        <v>10</v>
      </c>
      <c r="H38" s="25" t="s">
        <v>97</v>
      </c>
      <c r="I38" s="28">
        <f t="shared" si="0"/>
        <v>190</v>
      </c>
    </row>
    <row r="39" spans="2:9" x14ac:dyDescent="0.35">
      <c r="B39" s="25">
        <v>1036</v>
      </c>
      <c r="C39" s="26" t="s">
        <v>98</v>
      </c>
      <c r="D39" s="26" t="s">
        <v>45</v>
      </c>
      <c r="E39" s="26" t="s">
        <v>43</v>
      </c>
      <c r="F39" s="25">
        <v>15</v>
      </c>
      <c r="G39" s="25">
        <v>25</v>
      </c>
      <c r="H39" s="25" t="s">
        <v>99</v>
      </c>
      <c r="I39" s="28">
        <f t="shared" si="0"/>
        <v>375</v>
      </c>
    </row>
    <row r="40" spans="2:9" x14ac:dyDescent="0.35">
      <c r="B40" s="25">
        <v>1037</v>
      </c>
      <c r="C40" s="26" t="s">
        <v>100</v>
      </c>
      <c r="D40" s="26" t="s">
        <v>36</v>
      </c>
      <c r="E40" s="26" t="s">
        <v>47</v>
      </c>
      <c r="F40" s="25">
        <v>28</v>
      </c>
      <c r="G40" s="25">
        <v>5</v>
      </c>
      <c r="H40" s="25" t="s">
        <v>101</v>
      </c>
      <c r="I40" s="28">
        <f t="shared" si="0"/>
        <v>140</v>
      </c>
    </row>
    <row r="41" spans="2:9" x14ac:dyDescent="0.35">
      <c r="B41" s="25">
        <v>1038</v>
      </c>
      <c r="C41" s="26" t="s">
        <v>102</v>
      </c>
      <c r="D41" s="26" t="s">
        <v>39</v>
      </c>
      <c r="E41" s="26" t="s">
        <v>50</v>
      </c>
      <c r="F41" s="25">
        <v>24</v>
      </c>
      <c r="G41" s="25">
        <v>8</v>
      </c>
      <c r="H41" s="25" t="s">
        <v>103</v>
      </c>
      <c r="I41" s="28">
        <f t="shared" si="0"/>
        <v>192</v>
      </c>
    </row>
    <row r="42" spans="2:9" x14ac:dyDescent="0.35">
      <c r="B42" s="25">
        <v>1039</v>
      </c>
      <c r="C42" s="26" t="s">
        <v>104</v>
      </c>
      <c r="D42" s="26" t="s">
        <v>42</v>
      </c>
      <c r="E42" s="26" t="s">
        <v>37</v>
      </c>
      <c r="F42" s="25">
        <v>16</v>
      </c>
      <c r="G42" s="25">
        <v>50</v>
      </c>
      <c r="H42" s="25" t="s">
        <v>105</v>
      </c>
      <c r="I42" s="28">
        <f t="shared" si="0"/>
        <v>800</v>
      </c>
    </row>
    <row r="43" spans="2:9" x14ac:dyDescent="0.35">
      <c r="B43" s="25">
        <v>1040</v>
      </c>
      <c r="C43" s="26" t="s">
        <v>106</v>
      </c>
      <c r="D43" s="26" t="s">
        <v>45</v>
      </c>
      <c r="E43" s="26" t="s">
        <v>40</v>
      </c>
      <c r="F43" s="25">
        <v>27</v>
      </c>
      <c r="G43" s="25">
        <v>10</v>
      </c>
      <c r="H43" s="25" t="s">
        <v>107</v>
      </c>
      <c r="I43" s="28">
        <f t="shared" si="0"/>
        <v>270</v>
      </c>
    </row>
    <row r="44" spans="2:9" x14ac:dyDescent="0.35">
      <c r="B44" s="25">
        <v>1041</v>
      </c>
      <c r="C44" s="26" t="s">
        <v>108</v>
      </c>
      <c r="D44" s="26" t="s">
        <v>36</v>
      </c>
      <c r="E44" s="26" t="s">
        <v>43</v>
      </c>
      <c r="F44" s="25">
        <v>21</v>
      </c>
      <c r="G44" s="25">
        <v>25</v>
      </c>
      <c r="H44" s="25" t="s">
        <v>109</v>
      </c>
      <c r="I44" s="28">
        <f t="shared" si="0"/>
        <v>525</v>
      </c>
    </row>
    <row r="45" spans="2:9" x14ac:dyDescent="0.35">
      <c r="B45" s="25">
        <v>1042</v>
      </c>
      <c r="C45" s="26" t="s">
        <v>110</v>
      </c>
      <c r="D45" s="26" t="s">
        <v>39</v>
      </c>
      <c r="E45" s="26" t="s">
        <v>47</v>
      </c>
      <c r="F45" s="25">
        <v>30</v>
      </c>
      <c r="G45" s="25">
        <v>5</v>
      </c>
      <c r="H45" s="25" t="s">
        <v>111</v>
      </c>
      <c r="I45" s="28">
        <f t="shared" si="0"/>
        <v>150</v>
      </c>
    </row>
    <row r="46" spans="2:9" x14ac:dyDescent="0.35">
      <c r="B46" s="25">
        <v>1043</v>
      </c>
      <c r="C46" s="26" t="s">
        <v>112</v>
      </c>
      <c r="D46" s="26" t="s">
        <v>42</v>
      </c>
      <c r="E46" s="26" t="s">
        <v>50</v>
      </c>
      <c r="F46" s="25">
        <v>26</v>
      </c>
      <c r="G46" s="25">
        <v>8</v>
      </c>
      <c r="H46" s="27">
        <v>45294</v>
      </c>
      <c r="I46" s="28">
        <f t="shared" si="0"/>
        <v>208</v>
      </c>
    </row>
    <row r="47" spans="2:9" x14ac:dyDescent="0.35">
      <c r="B47" s="25">
        <v>1044</v>
      </c>
      <c r="C47" s="26" t="s">
        <v>113</v>
      </c>
      <c r="D47" s="26" t="s">
        <v>45</v>
      </c>
      <c r="E47" s="26" t="s">
        <v>37</v>
      </c>
      <c r="F47" s="25">
        <v>14</v>
      </c>
      <c r="G47" s="25">
        <v>50</v>
      </c>
      <c r="H47" s="27">
        <v>45325</v>
      </c>
      <c r="I47" s="28">
        <f t="shared" si="0"/>
        <v>700</v>
      </c>
    </row>
    <row r="48" spans="2:9" x14ac:dyDescent="0.35">
      <c r="B48" s="25">
        <v>1045</v>
      </c>
      <c r="C48" s="26" t="s">
        <v>114</v>
      </c>
      <c r="D48" s="26" t="s">
        <v>36</v>
      </c>
      <c r="E48" s="26" t="s">
        <v>40</v>
      </c>
      <c r="F48" s="25">
        <v>20</v>
      </c>
      <c r="G48" s="25">
        <v>10</v>
      </c>
      <c r="H48" s="27">
        <v>45354</v>
      </c>
      <c r="I48" s="28">
        <f t="shared" si="0"/>
        <v>200</v>
      </c>
    </row>
    <row r="49" spans="2:9" x14ac:dyDescent="0.35">
      <c r="B49" s="25">
        <v>1046</v>
      </c>
      <c r="C49" s="26" t="s">
        <v>115</v>
      </c>
      <c r="D49" s="26" t="s">
        <v>39</v>
      </c>
      <c r="E49" s="26" t="s">
        <v>43</v>
      </c>
      <c r="F49" s="25">
        <v>17</v>
      </c>
      <c r="G49" s="25">
        <v>25</v>
      </c>
      <c r="H49" s="27">
        <v>45385</v>
      </c>
      <c r="I49" s="28">
        <f t="shared" si="0"/>
        <v>425</v>
      </c>
    </row>
    <row r="50" spans="2:9" x14ac:dyDescent="0.35">
      <c r="B50" s="25">
        <v>1047</v>
      </c>
      <c r="C50" s="26" t="s">
        <v>116</v>
      </c>
      <c r="D50" s="26" t="s">
        <v>42</v>
      </c>
      <c r="E50" s="26" t="s">
        <v>47</v>
      </c>
      <c r="F50" s="25">
        <v>19</v>
      </c>
      <c r="G50" s="25">
        <v>5</v>
      </c>
      <c r="H50" s="27">
        <v>45415</v>
      </c>
      <c r="I50" s="28">
        <f t="shared" si="0"/>
        <v>95</v>
      </c>
    </row>
    <row r="51" spans="2:9" x14ac:dyDescent="0.35">
      <c r="B51" s="25">
        <v>1048</v>
      </c>
      <c r="C51" s="26" t="s">
        <v>117</v>
      </c>
      <c r="D51" s="26" t="s">
        <v>45</v>
      </c>
      <c r="E51" s="26" t="s">
        <v>50</v>
      </c>
      <c r="F51" s="25">
        <v>32</v>
      </c>
      <c r="G51" s="25">
        <v>8</v>
      </c>
      <c r="H51" s="27">
        <v>45446</v>
      </c>
      <c r="I51" s="28">
        <f t="shared" si="0"/>
        <v>256</v>
      </c>
    </row>
    <row r="52" spans="2:9" x14ac:dyDescent="0.35">
      <c r="B52" s="25">
        <v>1049</v>
      </c>
      <c r="C52" s="26" t="s">
        <v>118</v>
      </c>
      <c r="D52" s="26" t="s">
        <v>36</v>
      </c>
      <c r="E52" s="26" t="s">
        <v>37</v>
      </c>
      <c r="F52" s="25">
        <v>12</v>
      </c>
      <c r="G52" s="25">
        <v>50</v>
      </c>
      <c r="H52" s="27">
        <v>45476</v>
      </c>
      <c r="I52" s="2">
        <f>F52*G52</f>
        <v>600</v>
      </c>
    </row>
    <row r="53" spans="2:9" x14ac:dyDescent="0.35">
      <c r="B53" s="25">
        <v>1050</v>
      </c>
      <c r="C53" s="26" t="s">
        <v>119</v>
      </c>
      <c r="D53" s="26" t="s">
        <v>39</v>
      </c>
      <c r="E53" s="26" t="s">
        <v>40</v>
      </c>
      <c r="F53" s="25">
        <v>25</v>
      </c>
      <c r="G53" s="25">
        <v>10</v>
      </c>
      <c r="H53" s="27">
        <v>45507</v>
      </c>
      <c r="I53" s="2">
        <f>F53*G53</f>
        <v>250</v>
      </c>
    </row>
    <row r="54" spans="2:9" x14ac:dyDescent="0.35">
      <c r="B54" s="7"/>
      <c r="C54" s="4"/>
      <c r="D54" s="4"/>
      <c r="E54" s="4"/>
      <c r="F54" s="3"/>
      <c r="G54" s="3"/>
      <c r="H54" s="5"/>
    </row>
    <row r="55" spans="2:9" ht="17" x14ac:dyDescent="0.5">
      <c r="B55" s="68" t="s">
        <v>120</v>
      </c>
      <c r="C55" s="68"/>
      <c r="D55" s="68"/>
      <c r="E55" s="68"/>
      <c r="F55" s="40">
        <f>COUNTA(C4:C53)</f>
        <v>50</v>
      </c>
    </row>
  </sheetData>
  <mergeCells count="2">
    <mergeCell ref="B1:I1"/>
    <mergeCell ref="B55:E55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62F50-BCD0-4F0C-A9BD-10F3BE57A5DB}">
  <dimension ref="B2:I54"/>
  <sheetViews>
    <sheetView topLeftCell="A36" workbookViewId="0">
      <selection activeCell="M6" sqref="M6"/>
    </sheetView>
  </sheetViews>
  <sheetFormatPr defaultRowHeight="14.5" x14ac:dyDescent="0.35"/>
  <cols>
    <col min="3" max="3" width="14.1796875" bestFit="1" customWidth="1"/>
    <col min="4" max="4" width="6.453125" bestFit="1" customWidth="1"/>
    <col min="5" max="5" width="9.1796875" bestFit="1" customWidth="1"/>
    <col min="8" max="8" width="12.453125" customWidth="1"/>
    <col min="9" max="9" width="12.1796875" customWidth="1"/>
  </cols>
  <sheetData>
    <row r="2" spans="2:9" x14ac:dyDescent="0.35">
      <c r="B2" s="69" t="s">
        <v>121</v>
      </c>
      <c r="C2" s="69"/>
      <c r="D2" s="69"/>
      <c r="E2" s="69"/>
      <c r="F2" s="69"/>
      <c r="G2" s="69"/>
    </row>
    <row r="4" spans="2:9" x14ac:dyDescent="0.35">
      <c r="B4" s="24" t="s">
        <v>27</v>
      </c>
      <c r="C4" s="24" t="s">
        <v>28</v>
      </c>
      <c r="D4" s="24" t="s">
        <v>29</v>
      </c>
      <c r="E4" s="24" t="s">
        <v>30</v>
      </c>
      <c r="F4" s="24" t="s">
        <v>31</v>
      </c>
      <c r="G4" s="24" t="s">
        <v>32</v>
      </c>
      <c r="H4" s="24" t="s">
        <v>33</v>
      </c>
      <c r="I4" s="24" t="s">
        <v>34</v>
      </c>
    </row>
    <row r="5" spans="2:9" x14ac:dyDescent="0.35">
      <c r="B5" s="31">
        <v>1001</v>
      </c>
      <c r="C5" s="31" t="s">
        <v>35</v>
      </c>
      <c r="D5" s="31" t="s">
        <v>36</v>
      </c>
      <c r="E5" s="31" t="s">
        <v>37</v>
      </c>
      <c r="F5" s="31">
        <v>10</v>
      </c>
      <c r="G5" s="31">
        <v>50</v>
      </c>
      <c r="H5" s="32">
        <v>45413</v>
      </c>
      <c r="I5" s="33">
        <f>F5*G5</f>
        <v>500</v>
      </c>
    </row>
    <row r="6" spans="2:9" x14ac:dyDescent="0.35">
      <c r="B6" s="29">
        <v>1002</v>
      </c>
      <c r="C6" s="29" t="s">
        <v>38</v>
      </c>
      <c r="D6" s="29" t="s">
        <v>39</v>
      </c>
      <c r="E6" s="29" t="s">
        <v>40</v>
      </c>
      <c r="F6" s="29">
        <v>20</v>
      </c>
      <c r="G6" s="29">
        <v>10</v>
      </c>
      <c r="H6" s="30">
        <v>45444</v>
      </c>
      <c r="I6" s="33">
        <f t="shared" ref="I6:I54" si="0">F6*G6</f>
        <v>200</v>
      </c>
    </row>
    <row r="7" spans="2:9" x14ac:dyDescent="0.35">
      <c r="B7" s="29">
        <v>1003</v>
      </c>
      <c r="C7" s="29" t="s">
        <v>41</v>
      </c>
      <c r="D7" s="29" t="s">
        <v>42</v>
      </c>
      <c r="E7" s="29" t="s">
        <v>43</v>
      </c>
      <c r="F7" s="29">
        <v>15</v>
      </c>
      <c r="G7" s="29">
        <v>25</v>
      </c>
      <c r="H7" s="30">
        <v>45474</v>
      </c>
      <c r="I7" s="33">
        <f t="shared" si="0"/>
        <v>375</v>
      </c>
    </row>
    <row r="8" spans="2:9" x14ac:dyDescent="0.35">
      <c r="B8" s="29">
        <v>1004</v>
      </c>
      <c r="C8" s="29" t="s">
        <v>44</v>
      </c>
      <c r="D8" s="29" t="s">
        <v>45</v>
      </c>
      <c r="E8" s="29" t="s">
        <v>37</v>
      </c>
      <c r="F8" s="29">
        <v>5</v>
      </c>
      <c r="G8" s="29">
        <v>50</v>
      </c>
      <c r="H8" s="30">
        <v>45505</v>
      </c>
      <c r="I8" s="33">
        <f t="shared" si="0"/>
        <v>250</v>
      </c>
    </row>
    <row r="9" spans="2:9" x14ac:dyDescent="0.35">
      <c r="B9" s="29">
        <v>1005</v>
      </c>
      <c r="C9" s="29" t="s">
        <v>46</v>
      </c>
      <c r="D9" s="29" t="s">
        <v>36</v>
      </c>
      <c r="E9" s="29" t="s">
        <v>47</v>
      </c>
      <c r="F9" s="29">
        <v>30</v>
      </c>
      <c r="G9" s="29">
        <v>5</v>
      </c>
      <c r="H9" s="30">
        <v>45566</v>
      </c>
      <c r="I9" s="33">
        <f t="shared" si="0"/>
        <v>150</v>
      </c>
    </row>
    <row r="10" spans="2:9" x14ac:dyDescent="0.35">
      <c r="B10" s="29">
        <v>1006</v>
      </c>
      <c r="C10" s="29" t="s">
        <v>48</v>
      </c>
      <c r="D10" s="29" t="s">
        <v>39</v>
      </c>
      <c r="E10" s="29" t="s">
        <v>37</v>
      </c>
      <c r="F10" s="29">
        <v>12</v>
      </c>
      <c r="G10" s="29">
        <v>50</v>
      </c>
      <c r="H10" s="30">
        <v>45597</v>
      </c>
      <c r="I10" s="33">
        <f t="shared" si="0"/>
        <v>600</v>
      </c>
    </row>
    <row r="11" spans="2:9" x14ac:dyDescent="0.35">
      <c r="B11" s="29">
        <v>1007</v>
      </c>
      <c r="C11" s="29" t="s">
        <v>49</v>
      </c>
      <c r="D11" s="29" t="s">
        <v>42</v>
      </c>
      <c r="E11" s="29" t="s">
        <v>50</v>
      </c>
      <c r="F11" s="29">
        <v>25</v>
      </c>
      <c r="G11" s="29">
        <v>8</v>
      </c>
      <c r="H11" s="29" t="s">
        <v>51</v>
      </c>
      <c r="I11" s="33">
        <f t="shared" si="0"/>
        <v>200</v>
      </c>
    </row>
    <row r="12" spans="2:9" x14ac:dyDescent="0.35">
      <c r="B12" s="29">
        <v>1008</v>
      </c>
      <c r="C12" s="29" t="s">
        <v>52</v>
      </c>
      <c r="D12" s="29" t="s">
        <v>45</v>
      </c>
      <c r="E12" s="29" t="s">
        <v>40</v>
      </c>
      <c r="F12" s="29">
        <v>18</v>
      </c>
      <c r="G12" s="29">
        <v>10</v>
      </c>
      <c r="H12" s="29" t="s">
        <v>53</v>
      </c>
      <c r="I12" s="33">
        <f t="shared" si="0"/>
        <v>180</v>
      </c>
    </row>
    <row r="13" spans="2:9" x14ac:dyDescent="0.35">
      <c r="B13" s="29">
        <v>1009</v>
      </c>
      <c r="C13" s="29" t="s">
        <v>54</v>
      </c>
      <c r="D13" s="29" t="s">
        <v>36</v>
      </c>
      <c r="E13" s="29" t="s">
        <v>43</v>
      </c>
      <c r="F13" s="29">
        <v>22</v>
      </c>
      <c r="G13" s="29">
        <v>25</v>
      </c>
      <c r="H13" s="29" t="s">
        <v>55</v>
      </c>
      <c r="I13" s="33">
        <f t="shared" si="0"/>
        <v>550</v>
      </c>
    </row>
    <row r="14" spans="2:9" x14ac:dyDescent="0.35">
      <c r="B14" s="29">
        <v>1010</v>
      </c>
      <c r="C14" s="29" t="s">
        <v>56</v>
      </c>
      <c r="D14" s="29" t="s">
        <v>39</v>
      </c>
      <c r="E14" s="29" t="s">
        <v>37</v>
      </c>
      <c r="F14" s="29">
        <v>8</v>
      </c>
      <c r="G14" s="29">
        <v>50</v>
      </c>
      <c r="H14" s="29" t="s">
        <v>57</v>
      </c>
      <c r="I14" s="33">
        <f t="shared" si="0"/>
        <v>400</v>
      </c>
    </row>
    <row r="15" spans="2:9" x14ac:dyDescent="0.35">
      <c r="B15" s="29">
        <v>1011</v>
      </c>
      <c r="C15" s="29" t="s">
        <v>58</v>
      </c>
      <c r="D15" s="29" t="s">
        <v>42</v>
      </c>
      <c r="E15" s="29" t="s">
        <v>47</v>
      </c>
      <c r="F15" s="29">
        <v>40</v>
      </c>
      <c r="G15" s="29">
        <v>5</v>
      </c>
      <c r="H15" s="29" t="s">
        <v>59</v>
      </c>
      <c r="I15" s="33">
        <f t="shared" si="0"/>
        <v>200</v>
      </c>
    </row>
    <row r="16" spans="2:9" x14ac:dyDescent="0.35">
      <c r="B16" s="29">
        <v>1012</v>
      </c>
      <c r="C16" s="29" t="s">
        <v>60</v>
      </c>
      <c r="D16" s="29" t="s">
        <v>45</v>
      </c>
      <c r="E16" s="29" t="s">
        <v>50</v>
      </c>
      <c r="F16" s="29">
        <v>35</v>
      </c>
      <c r="G16" s="29">
        <v>8</v>
      </c>
      <c r="H16" s="29" t="s">
        <v>61</v>
      </c>
      <c r="I16" s="33">
        <f t="shared" si="0"/>
        <v>280</v>
      </c>
    </row>
    <row r="17" spans="2:9" x14ac:dyDescent="0.35">
      <c r="B17" s="29">
        <v>1013</v>
      </c>
      <c r="C17" s="29" t="s">
        <v>62</v>
      </c>
      <c r="D17" s="29" t="s">
        <v>36</v>
      </c>
      <c r="E17" s="29" t="s">
        <v>37</v>
      </c>
      <c r="F17" s="29">
        <v>14</v>
      </c>
      <c r="G17" s="29">
        <v>50</v>
      </c>
      <c r="H17" s="29" t="s">
        <v>63</v>
      </c>
      <c r="I17" s="33">
        <f t="shared" si="0"/>
        <v>700</v>
      </c>
    </row>
    <row r="18" spans="2:9" x14ac:dyDescent="0.35">
      <c r="B18" s="29">
        <v>1014</v>
      </c>
      <c r="C18" s="29" t="s">
        <v>64</v>
      </c>
      <c r="D18" s="29" t="s">
        <v>39</v>
      </c>
      <c r="E18" s="29" t="s">
        <v>40</v>
      </c>
      <c r="F18" s="29">
        <v>28</v>
      </c>
      <c r="G18" s="29">
        <v>10</v>
      </c>
      <c r="H18" s="29" t="s">
        <v>65</v>
      </c>
      <c r="I18" s="33">
        <f t="shared" si="0"/>
        <v>280</v>
      </c>
    </row>
    <row r="19" spans="2:9" x14ac:dyDescent="0.35">
      <c r="B19" s="29">
        <v>1015</v>
      </c>
      <c r="C19" s="29" t="s">
        <v>66</v>
      </c>
      <c r="D19" s="29" t="s">
        <v>42</v>
      </c>
      <c r="E19" s="29" t="s">
        <v>43</v>
      </c>
      <c r="F19" s="29">
        <v>12</v>
      </c>
      <c r="G19" s="29">
        <v>25</v>
      </c>
      <c r="H19" s="29" t="s">
        <v>67</v>
      </c>
      <c r="I19" s="33">
        <f t="shared" si="0"/>
        <v>300</v>
      </c>
    </row>
    <row r="20" spans="2:9" x14ac:dyDescent="0.35">
      <c r="B20" s="29">
        <v>1016</v>
      </c>
      <c r="C20" s="29" t="s">
        <v>68</v>
      </c>
      <c r="D20" s="29" t="s">
        <v>45</v>
      </c>
      <c r="E20" s="29" t="s">
        <v>47</v>
      </c>
      <c r="F20" s="29">
        <v>25</v>
      </c>
      <c r="G20" s="29">
        <v>5</v>
      </c>
      <c r="H20" s="29" t="s">
        <v>69</v>
      </c>
      <c r="I20" s="33">
        <f t="shared" si="0"/>
        <v>125</v>
      </c>
    </row>
    <row r="21" spans="2:9" x14ac:dyDescent="0.35">
      <c r="B21" s="29">
        <v>1017</v>
      </c>
      <c r="C21" s="29" t="s">
        <v>70</v>
      </c>
      <c r="D21" s="29" t="s">
        <v>36</v>
      </c>
      <c r="E21" s="29" t="s">
        <v>50</v>
      </c>
      <c r="F21" s="29">
        <v>20</v>
      </c>
      <c r="G21" s="29">
        <v>8</v>
      </c>
      <c r="H21" s="29" t="s">
        <v>71</v>
      </c>
      <c r="I21" s="33">
        <f t="shared" si="0"/>
        <v>160</v>
      </c>
    </row>
    <row r="22" spans="2:9" x14ac:dyDescent="0.35">
      <c r="B22" s="29">
        <v>1018</v>
      </c>
      <c r="C22" s="29" t="s">
        <v>72</v>
      </c>
      <c r="D22" s="29" t="s">
        <v>39</v>
      </c>
      <c r="E22" s="29" t="s">
        <v>37</v>
      </c>
      <c r="F22" s="29">
        <v>10</v>
      </c>
      <c r="G22" s="29">
        <v>50</v>
      </c>
      <c r="H22" s="29" t="s">
        <v>73</v>
      </c>
      <c r="I22" s="33">
        <f t="shared" si="0"/>
        <v>500</v>
      </c>
    </row>
    <row r="23" spans="2:9" x14ac:dyDescent="0.35">
      <c r="B23" s="29">
        <v>1019</v>
      </c>
      <c r="C23" s="29" t="s">
        <v>74</v>
      </c>
      <c r="D23" s="29" t="s">
        <v>42</v>
      </c>
      <c r="E23" s="29" t="s">
        <v>40</v>
      </c>
      <c r="F23" s="29">
        <v>15</v>
      </c>
      <c r="G23" s="29">
        <v>10</v>
      </c>
      <c r="H23" s="29" t="s">
        <v>75</v>
      </c>
      <c r="I23" s="33">
        <f t="shared" si="0"/>
        <v>150</v>
      </c>
    </row>
    <row r="24" spans="2:9" x14ac:dyDescent="0.35">
      <c r="B24" s="29">
        <v>1020</v>
      </c>
      <c r="C24" s="29" t="s">
        <v>76</v>
      </c>
      <c r="D24" s="29" t="s">
        <v>45</v>
      </c>
      <c r="E24" s="29" t="s">
        <v>43</v>
      </c>
      <c r="F24" s="29">
        <v>18</v>
      </c>
      <c r="G24" s="29">
        <v>25</v>
      </c>
      <c r="H24" s="30">
        <v>45293</v>
      </c>
      <c r="I24" s="33">
        <f t="shared" si="0"/>
        <v>450</v>
      </c>
    </row>
    <row r="25" spans="2:9" x14ac:dyDescent="0.35">
      <c r="B25" s="29">
        <v>1021</v>
      </c>
      <c r="C25" s="29" t="s">
        <v>77</v>
      </c>
      <c r="D25" s="29" t="s">
        <v>36</v>
      </c>
      <c r="E25" s="29" t="s">
        <v>37</v>
      </c>
      <c r="F25" s="29">
        <v>9</v>
      </c>
      <c r="G25" s="29">
        <v>50</v>
      </c>
      <c r="H25" s="30">
        <v>45324</v>
      </c>
      <c r="I25" s="33">
        <f t="shared" si="0"/>
        <v>450</v>
      </c>
    </row>
    <row r="26" spans="2:9" x14ac:dyDescent="0.35">
      <c r="B26" s="29">
        <v>1022</v>
      </c>
      <c r="C26" s="29" t="s">
        <v>78</v>
      </c>
      <c r="D26" s="29" t="s">
        <v>39</v>
      </c>
      <c r="E26" s="29" t="s">
        <v>47</v>
      </c>
      <c r="F26" s="29">
        <v>35</v>
      </c>
      <c r="G26" s="29">
        <v>5</v>
      </c>
      <c r="H26" s="30">
        <v>45353</v>
      </c>
      <c r="I26" s="33">
        <f t="shared" si="0"/>
        <v>175</v>
      </c>
    </row>
    <row r="27" spans="2:9" x14ac:dyDescent="0.35">
      <c r="B27" s="29">
        <v>1023</v>
      </c>
      <c r="C27" s="29" t="s">
        <v>79</v>
      </c>
      <c r="D27" s="29" t="s">
        <v>42</v>
      </c>
      <c r="E27" s="29" t="s">
        <v>50</v>
      </c>
      <c r="F27" s="29">
        <v>30</v>
      </c>
      <c r="G27" s="29">
        <v>8</v>
      </c>
      <c r="H27" s="30">
        <v>45384</v>
      </c>
      <c r="I27" s="33">
        <f t="shared" si="0"/>
        <v>240</v>
      </c>
    </row>
    <row r="28" spans="2:9" x14ac:dyDescent="0.35">
      <c r="B28" s="29">
        <v>1024</v>
      </c>
      <c r="C28" s="29" t="s">
        <v>80</v>
      </c>
      <c r="D28" s="29" t="s">
        <v>45</v>
      </c>
      <c r="E28" s="29" t="s">
        <v>37</v>
      </c>
      <c r="F28" s="29">
        <v>11</v>
      </c>
      <c r="G28" s="29">
        <v>50</v>
      </c>
      <c r="H28" s="30">
        <v>45445</v>
      </c>
      <c r="I28" s="33">
        <f t="shared" si="0"/>
        <v>550</v>
      </c>
    </row>
    <row r="29" spans="2:9" x14ac:dyDescent="0.35">
      <c r="B29" s="29">
        <v>1025</v>
      </c>
      <c r="C29" s="29" t="s">
        <v>81</v>
      </c>
      <c r="D29" s="29" t="s">
        <v>36</v>
      </c>
      <c r="E29" s="29" t="s">
        <v>40</v>
      </c>
      <c r="F29" s="29">
        <v>14</v>
      </c>
      <c r="G29" s="29">
        <v>10</v>
      </c>
      <c r="H29" s="30">
        <v>45475</v>
      </c>
      <c r="I29" s="33">
        <f t="shared" si="0"/>
        <v>140</v>
      </c>
    </row>
    <row r="30" spans="2:9" x14ac:dyDescent="0.35">
      <c r="B30" s="29">
        <v>1026</v>
      </c>
      <c r="C30" s="29" t="s">
        <v>82</v>
      </c>
      <c r="D30" s="29" t="s">
        <v>39</v>
      </c>
      <c r="E30" s="29" t="s">
        <v>43</v>
      </c>
      <c r="F30" s="29">
        <v>16</v>
      </c>
      <c r="G30" s="29">
        <v>25</v>
      </c>
      <c r="H30" s="30">
        <v>45506</v>
      </c>
      <c r="I30" s="33">
        <f t="shared" si="0"/>
        <v>400</v>
      </c>
    </row>
    <row r="31" spans="2:9" x14ac:dyDescent="0.35">
      <c r="B31" s="29">
        <v>1027</v>
      </c>
      <c r="C31" s="29" t="s">
        <v>83</v>
      </c>
      <c r="D31" s="29" t="s">
        <v>42</v>
      </c>
      <c r="E31" s="29" t="s">
        <v>47</v>
      </c>
      <c r="F31" s="29">
        <v>22</v>
      </c>
      <c r="G31" s="29">
        <v>5</v>
      </c>
      <c r="H31" s="30">
        <v>45537</v>
      </c>
      <c r="I31" s="33">
        <f t="shared" si="0"/>
        <v>110</v>
      </c>
    </row>
    <row r="32" spans="2:9" x14ac:dyDescent="0.35">
      <c r="B32" s="29">
        <v>1028</v>
      </c>
      <c r="C32" s="29" t="s">
        <v>84</v>
      </c>
      <c r="D32" s="29" t="s">
        <v>45</v>
      </c>
      <c r="E32" s="29" t="s">
        <v>50</v>
      </c>
      <c r="F32" s="29">
        <v>27</v>
      </c>
      <c r="G32" s="29">
        <v>8</v>
      </c>
      <c r="H32" s="30">
        <v>45567</v>
      </c>
      <c r="I32" s="33">
        <f t="shared" si="0"/>
        <v>216</v>
      </c>
    </row>
    <row r="33" spans="2:9" x14ac:dyDescent="0.35">
      <c r="B33" s="29">
        <v>1029</v>
      </c>
      <c r="C33" s="29" t="s">
        <v>85</v>
      </c>
      <c r="D33" s="29" t="s">
        <v>36</v>
      </c>
      <c r="E33" s="29" t="s">
        <v>37</v>
      </c>
      <c r="F33" s="29">
        <v>13</v>
      </c>
      <c r="G33" s="29">
        <v>50</v>
      </c>
      <c r="H33" s="30">
        <v>45628</v>
      </c>
      <c r="I33" s="33">
        <f t="shared" si="0"/>
        <v>650</v>
      </c>
    </row>
    <row r="34" spans="2:9" x14ac:dyDescent="0.35">
      <c r="B34" s="29">
        <v>1030</v>
      </c>
      <c r="C34" s="29" t="s">
        <v>86</v>
      </c>
      <c r="D34" s="29" t="s">
        <v>39</v>
      </c>
      <c r="E34" s="29" t="s">
        <v>40</v>
      </c>
      <c r="F34" s="29">
        <v>32</v>
      </c>
      <c r="G34" s="29">
        <v>10</v>
      </c>
      <c r="H34" s="29" t="s">
        <v>87</v>
      </c>
      <c r="I34" s="33">
        <f t="shared" si="0"/>
        <v>320</v>
      </c>
    </row>
    <row r="35" spans="2:9" x14ac:dyDescent="0.35">
      <c r="B35" s="29">
        <v>1031</v>
      </c>
      <c r="C35" s="29" t="s">
        <v>88</v>
      </c>
      <c r="D35" s="29" t="s">
        <v>42</v>
      </c>
      <c r="E35" s="29" t="s">
        <v>43</v>
      </c>
      <c r="F35" s="29">
        <v>10</v>
      </c>
      <c r="G35" s="29">
        <v>25</v>
      </c>
      <c r="H35" s="29" t="s">
        <v>89</v>
      </c>
      <c r="I35" s="33">
        <f t="shared" si="0"/>
        <v>250</v>
      </c>
    </row>
    <row r="36" spans="2:9" x14ac:dyDescent="0.35">
      <c r="B36" s="29">
        <v>1032</v>
      </c>
      <c r="C36" s="29" t="s">
        <v>90</v>
      </c>
      <c r="D36" s="29" t="s">
        <v>45</v>
      </c>
      <c r="E36" s="29" t="s">
        <v>47</v>
      </c>
      <c r="F36" s="29">
        <v>18</v>
      </c>
      <c r="G36" s="29">
        <v>5</v>
      </c>
      <c r="H36" s="29" t="s">
        <v>91</v>
      </c>
      <c r="I36" s="33">
        <f t="shared" si="0"/>
        <v>90</v>
      </c>
    </row>
    <row r="37" spans="2:9" x14ac:dyDescent="0.35">
      <c r="B37" s="29">
        <v>1033</v>
      </c>
      <c r="C37" s="29" t="s">
        <v>92</v>
      </c>
      <c r="D37" s="29" t="s">
        <v>36</v>
      </c>
      <c r="E37" s="29" t="s">
        <v>50</v>
      </c>
      <c r="F37" s="29">
        <v>22</v>
      </c>
      <c r="G37" s="29">
        <v>8</v>
      </c>
      <c r="H37" s="29" t="s">
        <v>93</v>
      </c>
      <c r="I37" s="33">
        <f t="shared" si="0"/>
        <v>176</v>
      </c>
    </row>
    <row r="38" spans="2:9" x14ac:dyDescent="0.35">
      <c r="B38" s="29">
        <v>1034</v>
      </c>
      <c r="C38" s="29" t="s">
        <v>94</v>
      </c>
      <c r="D38" s="29" t="s">
        <v>39</v>
      </c>
      <c r="E38" s="29" t="s">
        <v>37</v>
      </c>
      <c r="F38" s="29">
        <v>17</v>
      </c>
      <c r="G38" s="29">
        <v>50</v>
      </c>
      <c r="H38" s="29" t="s">
        <v>95</v>
      </c>
      <c r="I38" s="33">
        <f t="shared" si="0"/>
        <v>850</v>
      </c>
    </row>
    <row r="39" spans="2:9" x14ac:dyDescent="0.35">
      <c r="B39" s="29">
        <v>1035</v>
      </c>
      <c r="C39" s="29" t="s">
        <v>96</v>
      </c>
      <c r="D39" s="29" t="s">
        <v>42</v>
      </c>
      <c r="E39" s="29" t="s">
        <v>40</v>
      </c>
      <c r="F39" s="29">
        <v>19</v>
      </c>
      <c r="G39" s="29">
        <v>10</v>
      </c>
      <c r="H39" s="29" t="s">
        <v>97</v>
      </c>
      <c r="I39" s="33">
        <f t="shared" si="0"/>
        <v>190</v>
      </c>
    </row>
    <row r="40" spans="2:9" x14ac:dyDescent="0.35">
      <c r="B40" s="29">
        <v>1036</v>
      </c>
      <c r="C40" s="29" t="s">
        <v>98</v>
      </c>
      <c r="D40" s="29" t="s">
        <v>45</v>
      </c>
      <c r="E40" s="29" t="s">
        <v>43</v>
      </c>
      <c r="F40" s="29">
        <v>15</v>
      </c>
      <c r="G40" s="29">
        <v>25</v>
      </c>
      <c r="H40" s="29" t="s">
        <v>99</v>
      </c>
      <c r="I40" s="33">
        <f t="shared" si="0"/>
        <v>375</v>
      </c>
    </row>
    <row r="41" spans="2:9" x14ac:dyDescent="0.35">
      <c r="B41" s="29">
        <v>1037</v>
      </c>
      <c r="C41" s="29" t="s">
        <v>100</v>
      </c>
      <c r="D41" s="29" t="s">
        <v>36</v>
      </c>
      <c r="E41" s="29" t="s">
        <v>47</v>
      </c>
      <c r="F41" s="29">
        <v>28</v>
      </c>
      <c r="G41" s="29">
        <v>5</v>
      </c>
      <c r="H41" s="29" t="s">
        <v>101</v>
      </c>
      <c r="I41" s="33">
        <f t="shared" si="0"/>
        <v>140</v>
      </c>
    </row>
    <row r="42" spans="2:9" x14ac:dyDescent="0.35">
      <c r="B42" s="29">
        <v>1038</v>
      </c>
      <c r="C42" s="29" t="s">
        <v>102</v>
      </c>
      <c r="D42" s="29" t="s">
        <v>39</v>
      </c>
      <c r="E42" s="29" t="s">
        <v>50</v>
      </c>
      <c r="F42" s="29">
        <v>24</v>
      </c>
      <c r="G42" s="29">
        <v>8</v>
      </c>
      <c r="H42" s="29" t="s">
        <v>103</v>
      </c>
      <c r="I42" s="33">
        <f t="shared" si="0"/>
        <v>192</v>
      </c>
    </row>
    <row r="43" spans="2:9" x14ac:dyDescent="0.35">
      <c r="B43" s="29">
        <v>1039</v>
      </c>
      <c r="C43" s="29" t="s">
        <v>104</v>
      </c>
      <c r="D43" s="29" t="s">
        <v>42</v>
      </c>
      <c r="E43" s="29" t="s">
        <v>37</v>
      </c>
      <c r="F43" s="29">
        <v>16</v>
      </c>
      <c r="G43" s="29">
        <v>50</v>
      </c>
      <c r="H43" s="29" t="s">
        <v>105</v>
      </c>
      <c r="I43" s="33">
        <f t="shared" si="0"/>
        <v>800</v>
      </c>
    </row>
    <row r="44" spans="2:9" x14ac:dyDescent="0.35">
      <c r="B44" s="29">
        <v>1040</v>
      </c>
      <c r="C44" s="29" t="s">
        <v>106</v>
      </c>
      <c r="D44" s="29" t="s">
        <v>45</v>
      </c>
      <c r="E44" s="29" t="s">
        <v>40</v>
      </c>
      <c r="F44" s="29">
        <v>27</v>
      </c>
      <c r="G44" s="29">
        <v>10</v>
      </c>
      <c r="H44" s="29" t="s">
        <v>107</v>
      </c>
      <c r="I44" s="33">
        <f t="shared" si="0"/>
        <v>270</v>
      </c>
    </row>
    <row r="45" spans="2:9" x14ac:dyDescent="0.35">
      <c r="B45" s="29">
        <v>1041</v>
      </c>
      <c r="C45" s="29" t="s">
        <v>108</v>
      </c>
      <c r="D45" s="29" t="s">
        <v>36</v>
      </c>
      <c r="E45" s="29" t="s">
        <v>43</v>
      </c>
      <c r="F45" s="29">
        <v>21</v>
      </c>
      <c r="G45" s="29">
        <v>25</v>
      </c>
      <c r="H45" s="29" t="s">
        <v>109</v>
      </c>
      <c r="I45" s="33">
        <f t="shared" si="0"/>
        <v>525</v>
      </c>
    </row>
    <row r="46" spans="2:9" x14ac:dyDescent="0.35">
      <c r="B46" s="29">
        <v>1042</v>
      </c>
      <c r="C46" s="29" t="s">
        <v>110</v>
      </c>
      <c r="D46" s="29" t="s">
        <v>39</v>
      </c>
      <c r="E46" s="29" t="s">
        <v>47</v>
      </c>
      <c r="F46" s="29">
        <v>30</v>
      </c>
      <c r="G46" s="29">
        <v>5</v>
      </c>
      <c r="H46" s="29" t="s">
        <v>111</v>
      </c>
      <c r="I46" s="33">
        <f t="shared" si="0"/>
        <v>150</v>
      </c>
    </row>
    <row r="47" spans="2:9" x14ac:dyDescent="0.35">
      <c r="B47" s="29">
        <v>1043</v>
      </c>
      <c r="C47" s="29" t="s">
        <v>112</v>
      </c>
      <c r="D47" s="29" t="s">
        <v>42</v>
      </c>
      <c r="E47" s="29" t="s">
        <v>50</v>
      </c>
      <c r="F47" s="29">
        <v>26</v>
      </c>
      <c r="G47" s="29">
        <v>8</v>
      </c>
      <c r="H47" s="30">
        <v>45294</v>
      </c>
      <c r="I47" s="33">
        <f t="shared" si="0"/>
        <v>208</v>
      </c>
    </row>
    <row r="48" spans="2:9" x14ac:dyDescent="0.35">
      <c r="B48" s="29">
        <v>1044</v>
      </c>
      <c r="C48" s="29" t="s">
        <v>113</v>
      </c>
      <c r="D48" s="29" t="s">
        <v>45</v>
      </c>
      <c r="E48" s="29" t="s">
        <v>37</v>
      </c>
      <c r="F48" s="29">
        <v>14</v>
      </c>
      <c r="G48" s="29">
        <v>50</v>
      </c>
      <c r="H48" s="30">
        <v>45325</v>
      </c>
      <c r="I48" s="33">
        <f t="shared" si="0"/>
        <v>700</v>
      </c>
    </row>
    <row r="49" spans="2:9" x14ac:dyDescent="0.35">
      <c r="B49" s="29">
        <v>1045</v>
      </c>
      <c r="C49" s="29" t="s">
        <v>114</v>
      </c>
      <c r="D49" s="29" t="s">
        <v>36</v>
      </c>
      <c r="E49" s="29" t="s">
        <v>40</v>
      </c>
      <c r="F49" s="29">
        <v>20</v>
      </c>
      <c r="G49" s="29">
        <v>10</v>
      </c>
      <c r="H49" s="30">
        <v>45354</v>
      </c>
      <c r="I49" s="33">
        <f t="shared" si="0"/>
        <v>200</v>
      </c>
    </row>
    <row r="50" spans="2:9" x14ac:dyDescent="0.35">
      <c r="B50" s="29">
        <v>1046</v>
      </c>
      <c r="C50" s="29" t="s">
        <v>115</v>
      </c>
      <c r="D50" s="29" t="s">
        <v>39</v>
      </c>
      <c r="E50" s="29" t="s">
        <v>43</v>
      </c>
      <c r="F50" s="29">
        <v>17</v>
      </c>
      <c r="G50" s="29">
        <v>25</v>
      </c>
      <c r="H50" s="30">
        <v>45385</v>
      </c>
      <c r="I50" s="33">
        <f t="shared" si="0"/>
        <v>425</v>
      </c>
    </row>
    <row r="51" spans="2:9" x14ac:dyDescent="0.35">
      <c r="B51" s="29">
        <v>1047</v>
      </c>
      <c r="C51" s="29" t="s">
        <v>116</v>
      </c>
      <c r="D51" s="29" t="s">
        <v>42</v>
      </c>
      <c r="E51" s="29" t="s">
        <v>47</v>
      </c>
      <c r="F51" s="29">
        <v>19</v>
      </c>
      <c r="G51" s="29">
        <v>5</v>
      </c>
      <c r="H51" s="30">
        <v>45415</v>
      </c>
      <c r="I51" s="33">
        <f t="shared" si="0"/>
        <v>95</v>
      </c>
    </row>
    <row r="52" spans="2:9" x14ac:dyDescent="0.35">
      <c r="B52" s="29">
        <v>1048</v>
      </c>
      <c r="C52" s="29" t="s">
        <v>117</v>
      </c>
      <c r="D52" s="29" t="s">
        <v>45</v>
      </c>
      <c r="E52" s="29" t="s">
        <v>50</v>
      </c>
      <c r="F52" s="29">
        <v>32</v>
      </c>
      <c r="G52" s="29">
        <v>8</v>
      </c>
      <c r="H52" s="30">
        <v>45446</v>
      </c>
      <c r="I52" s="33">
        <f t="shared" si="0"/>
        <v>256</v>
      </c>
    </row>
    <row r="53" spans="2:9" x14ac:dyDescent="0.35">
      <c r="B53" s="29">
        <v>1049</v>
      </c>
      <c r="C53" s="29" t="s">
        <v>118</v>
      </c>
      <c r="D53" s="29" t="s">
        <v>36</v>
      </c>
      <c r="E53" s="29" t="s">
        <v>37</v>
      </c>
      <c r="F53" s="29">
        <v>12</v>
      </c>
      <c r="G53" s="29">
        <v>50</v>
      </c>
      <c r="H53" s="30">
        <v>45476</v>
      </c>
      <c r="I53" s="33">
        <f t="shared" si="0"/>
        <v>600</v>
      </c>
    </row>
    <row r="54" spans="2:9" x14ac:dyDescent="0.35">
      <c r="B54" s="29">
        <v>1050</v>
      </c>
      <c r="C54" s="29" t="s">
        <v>119</v>
      </c>
      <c r="D54" s="29" t="s">
        <v>39</v>
      </c>
      <c r="E54" s="29" t="s">
        <v>40</v>
      </c>
      <c r="F54" s="29">
        <v>25</v>
      </c>
      <c r="G54" s="29">
        <v>10</v>
      </c>
      <c r="H54" s="30">
        <v>45507</v>
      </c>
      <c r="I54" s="33">
        <f t="shared" si="0"/>
        <v>250</v>
      </c>
    </row>
  </sheetData>
  <mergeCells count="1">
    <mergeCell ref="B2:G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9748B-88C6-4B20-8980-9DF4D6C1C0E9}">
  <dimension ref="A1:G55"/>
  <sheetViews>
    <sheetView workbookViewId="0">
      <selection activeCell="G59" sqref="G59"/>
    </sheetView>
  </sheetViews>
  <sheetFormatPr defaultRowHeight="14.5" x14ac:dyDescent="0.35"/>
  <cols>
    <col min="3" max="3" width="9.453125" customWidth="1"/>
    <col min="4" max="4" width="10.1796875" customWidth="1"/>
    <col min="5" max="5" width="10.453125" customWidth="1"/>
    <col min="6" max="6" width="13.453125" customWidth="1"/>
  </cols>
  <sheetData>
    <row r="1" spans="1:7" x14ac:dyDescent="0.35">
      <c r="A1" s="9"/>
      <c r="B1" s="10"/>
      <c r="C1" s="10"/>
      <c r="D1" s="10"/>
      <c r="E1" s="10"/>
      <c r="F1" s="10"/>
      <c r="G1" s="11"/>
    </row>
    <row r="2" spans="1:7" x14ac:dyDescent="0.35">
      <c r="A2" s="12"/>
      <c r="B2" s="70" t="s">
        <v>122</v>
      </c>
      <c r="C2" s="70"/>
      <c r="D2" s="70"/>
      <c r="E2" s="70"/>
      <c r="F2" s="70"/>
      <c r="G2" s="13"/>
    </row>
    <row r="3" spans="1:7" x14ac:dyDescent="0.35">
      <c r="A3" s="12"/>
      <c r="G3" s="13"/>
    </row>
    <row r="4" spans="1:7" x14ac:dyDescent="0.35">
      <c r="A4" s="12"/>
      <c r="B4" s="34" t="s">
        <v>29</v>
      </c>
      <c r="C4" s="34" t="s">
        <v>30</v>
      </c>
      <c r="D4" s="34" t="s">
        <v>31</v>
      </c>
      <c r="E4" s="34" t="s">
        <v>32</v>
      </c>
      <c r="F4" s="34" t="s">
        <v>34</v>
      </c>
      <c r="G4" s="13"/>
    </row>
    <row r="5" spans="1:7" x14ac:dyDescent="0.35">
      <c r="A5" s="12"/>
      <c r="B5" s="4" t="s">
        <v>36</v>
      </c>
      <c r="C5" s="4" t="s">
        <v>37</v>
      </c>
      <c r="D5" s="3">
        <v>10</v>
      </c>
      <c r="E5" s="3">
        <v>50</v>
      </c>
      <c r="F5" s="35">
        <v>500</v>
      </c>
      <c r="G5" s="13"/>
    </row>
    <row r="6" spans="1:7" hidden="1" x14ac:dyDescent="0.35">
      <c r="A6" s="12"/>
      <c r="B6" s="4" t="s">
        <v>39</v>
      </c>
      <c r="C6" s="4" t="s">
        <v>40</v>
      </c>
      <c r="D6" s="3">
        <v>20</v>
      </c>
      <c r="E6" s="3">
        <v>10</v>
      </c>
      <c r="F6">
        <v>200</v>
      </c>
      <c r="G6" s="13"/>
    </row>
    <row r="7" spans="1:7" hidden="1" x14ac:dyDescent="0.35">
      <c r="A7" s="12"/>
      <c r="B7" s="4" t="s">
        <v>42</v>
      </c>
      <c r="C7" s="4" t="s">
        <v>43</v>
      </c>
      <c r="D7" s="3">
        <v>15</v>
      </c>
      <c r="E7" s="3">
        <v>25</v>
      </c>
      <c r="F7" s="35">
        <v>375</v>
      </c>
      <c r="G7" s="13"/>
    </row>
    <row r="8" spans="1:7" hidden="1" x14ac:dyDescent="0.35">
      <c r="A8" s="12"/>
      <c r="B8" s="4" t="s">
        <v>45</v>
      </c>
      <c r="C8" s="4" t="s">
        <v>37</v>
      </c>
      <c r="D8" s="3">
        <v>5</v>
      </c>
      <c r="E8" s="3">
        <v>50</v>
      </c>
      <c r="F8">
        <v>250</v>
      </c>
      <c r="G8" s="13"/>
    </row>
    <row r="9" spans="1:7" hidden="1" x14ac:dyDescent="0.35">
      <c r="A9" s="12"/>
      <c r="B9" s="4" t="s">
        <v>36</v>
      </c>
      <c r="C9" s="4" t="s">
        <v>47</v>
      </c>
      <c r="D9" s="3">
        <v>30</v>
      </c>
      <c r="E9" s="3">
        <v>5</v>
      </c>
      <c r="F9">
        <v>150</v>
      </c>
      <c r="G9" s="13"/>
    </row>
    <row r="10" spans="1:7" hidden="1" x14ac:dyDescent="0.35">
      <c r="A10" s="12"/>
      <c r="B10" s="4" t="s">
        <v>39</v>
      </c>
      <c r="C10" s="4" t="s">
        <v>37</v>
      </c>
      <c r="D10" s="3">
        <v>12</v>
      </c>
      <c r="E10" s="3">
        <v>50</v>
      </c>
      <c r="F10">
        <v>600</v>
      </c>
      <c r="G10" s="13"/>
    </row>
    <row r="11" spans="1:7" hidden="1" x14ac:dyDescent="0.35">
      <c r="A11" s="12"/>
      <c r="B11" s="4" t="s">
        <v>42</v>
      </c>
      <c r="C11" s="4" t="s">
        <v>50</v>
      </c>
      <c r="D11" s="3">
        <v>25</v>
      </c>
      <c r="E11" s="3">
        <v>8</v>
      </c>
      <c r="F11">
        <v>200</v>
      </c>
      <c r="G11" s="13"/>
    </row>
    <row r="12" spans="1:7" hidden="1" x14ac:dyDescent="0.35">
      <c r="A12" s="12"/>
      <c r="B12" s="4" t="s">
        <v>45</v>
      </c>
      <c r="C12" s="4" t="s">
        <v>40</v>
      </c>
      <c r="D12" s="3">
        <v>18</v>
      </c>
      <c r="E12" s="3">
        <v>10</v>
      </c>
      <c r="F12">
        <v>180</v>
      </c>
      <c r="G12" s="13"/>
    </row>
    <row r="13" spans="1:7" hidden="1" x14ac:dyDescent="0.35">
      <c r="A13" s="12"/>
      <c r="B13" s="4" t="s">
        <v>36</v>
      </c>
      <c r="C13" s="4" t="s">
        <v>43</v>
      </c>
      <c r="D13" s="3">
        <v>22</v>
      </c>
      <c r="E13" s="3">
        <v>25</v>
      </c>
      <c r="F13">
        <v>550</v>
      </c>
      <c r="G13" s="13"/>
    </row>
    <row r="14" spans="1:7" hidden="1" x14ac:dyDescent="0.35">
      <c r="A14" s="12"/>
      <c r="B14" s="4" t="s">
        <v>39</v>
      </c>
      <c r="C14" s="4" t="s">
        <v>37</v>
      </c>
      <c r="D14" s="3">
        <v>8</v>
      </c>
      <c r="E14" s="3">
        <v>50</v>
      </c>
      <c r="F14">
        <v>400</v>
      </c>
      <c r="G14" s="13"/>
    </row>
    <row r="15" spans="1:7" hidden="1" x14ac:dyDescent="0.35">
      <c r="A15" s="12"/>
      <c r="B15" s="4" t="s">
        <v>42</v>
      </c>
      <c r="C15" s="4" t="s">
        <v>47</v>
      </c>
      <c r="D15" s="3">
        <v>40</v>
      </c>
      <c r="E15" s="3">
        <v>5</v>
      </c>
      <c r="F15">
        <v>200</v>
      </c>
      <c r="G15" s="13"/>
    </row>
    <row r="16" spans="1:7" hidden="1" x14ac:dyDescent="0.35">
      <c r="A16" s="12"/>
      <c r="B16" s="4" t="s">
        <v>45</v>
      </c>
      <c r="C16" s="4" t="s">
        <v>50</v>
      </c>
      <c r="D16" s="3">
        <v>35</v>
      </c>
      <c r="E16" s="3">
        <v>8</v>
      </c>
      <c r="F16">
        <v>280</v>
      </c>
      <c r="G16" s="13"/>
    </row>
    <row r="17" spans="1:7" x14ac:dyDescent="0.35">
      <c r="A17" s="12"/>
      <c r="B17" s="4" t="s">
        <v>36</v>
      </c>
      <c r="C17" s="4" t="s">
        <v>37</v>
      </c>
      <c r="D17" s="3">
        <v>14</v>
      </c>
      <c r="E17" s="3">
        <v>50</v>
      </c>
      <c r="F17">
        <v>700</v>
      </c>
      <c r="G17" s="13"/>
    </row>
    <row r="18" spans="1:7" hidden="1" x14ac:dyDescent="0.35">
      <c r="A18" s="12"/>
      <c r="B18" s="4" t="s">
        <v>39</v>
      </c>
      <c r="C18" s="4" t="s">
        <v>40</v>
      </c>
      <c r="D18" s="3">
        <v>28</v>
      </c>
      <c r="E18" s="3">
        <v>10</v>
      </c>
      <c r="F18">
        <v>280</v>
      </c>
      <c r="G18" s="13"/>
    </row>
    <row r="19" spans="1:7" hidden="1" x14ac:dyDescent="0.35">
      <c r="A19" s="12"/>
      <c r="B19" s="4" t="s">
        <v>42</v>
      </c>
      <c r="C19" s="4" t="s">
        <v>43</v>
      </c>
      <c r="D19" s="3">
        <v>12</v>
      </c>
      <c r="E19" s="3">
        <v>25</v>
      </c>
      <c r="F19">
        <v>300</v>
      </c>
      <c r="G19" s="13"/>
    </row>
    <row r="20" spans="1:7" hidden="1" x14ac:dyDescent="0.35">
      <c r="A20" s="12"/>
      <c r="B20" s="4" t="s">
        <v>45</v>
      </c>
      <c r="C20" s="4" t="s">
        <v>47</v>
      </c>
      <c r="D20" s="3">
        <v>25</v>
      </c>
      <c r="E20" s="3">
        <v>5</v>
      </c>
      <c r="F20">
        <v>125</v>
      </c>
      <c r="G20" s="13"/>
    </row>
    <row r="21" spans="1:7" hidden="1" x14ac:dyDescent="0.35">
      <c r="A21" s="12"/>
      <c r="B21" s="4" t="s">
        <v>36</v>
      </c>
      <c r="C21" s="4" t="s">
        <v>50</v>
      </c>
      <c r="D21" s="3">
        <v>20</v>
      </c>
      <c r="E21" s="3">
        <v>8</v>
      </c>
      <c r="F21">
        <v>160</v>
      </c>
      <c r="G21" s="13"/>
    </row>
    <row r="22" spans="1:7" hidden="1" x14ac:dyDescent="0.35">
      <c r="A22" s="12"/>
      <c r="B22" s="4" t="s">
        <v>39</v>
      </c>
      <c r="C22" s="4" t="s">
        <v>37</v>
      </c>
      <c r="D22" s="3">
        <v>10</v>
      </c>
      <c r="E22" s="3">
        <v>50</v>
      </c>
      <c r="F22">
        <v>500</v>
      </c>
      <c r="G22" s="13"/>
    </row>
    <row r="23" spans="1:7" hidden="1" x14ac:dyDescent="0.35">
      <c r="A23" s="12"/>
      <c r="B23" s="4" t="s">
        <v>42</v>
      </c>
      <c r="C23" s="4" t="s">
        <v>40</v>
      </c>
      <c r="D23" s="3">
        <v>15</v>
      </c>
      <c r="E23" s="3">
        <v>10</v>
      </c>
      <c r="F23">
        <v>150</v>
      </c>
      <c r="G23" s="13"/>
    </row>
    <row r="24" spans="1:7" hidden="1" x14ac:dyDescent="0.35">
      <c r="A24" s="12"/>
      <c r="B24" s="4" t="s">
        <v>45</v>
      </c>
      <c r="C24" s="4" t="s">
        <v>43</v>
      </c>
      <c r="D24" s="3">
        <v>18</v>
      </c>
      <c r="E24" s="3">
        <v>25</v>
      </c>
      <c r="F24">
        <v>450</v>
      </c>
      <c r="G24" s="13"/>
    </row>
    <row r="25" spans="1:7" x14ac:dyDescent="0.35">
      <c r="A25" s="12"/>
      <c r="B25" s="4" t="s">
        <v>36</v>
      </c>
      <c r="C25" s="4" t="s">
        <v>37</v>
      </c>
      <c r="D25" s="3">
        <v>9</v>
      </c>
      <c r="E25" s="3">
        <v>50</v>
      </c>
      <c r="F25">
        <v>450</v>
      </c>
      <c r="G25" s="13"/>
    </row>
    <row r="26" spans="1:7" hidden="1" x14ac:dyDescent="0.35">
      <c r="A26" s="12"/>
      <c r="B26" s="4" t="s">
        <v>39</v>
      </c>
      <c r="C26" s="4" t="s">
        <v>47</v>
      </c>
      <c r="D26" s="3">
        <v>35</v>
      </c>
      <c r="E26" s="3">
        <v>5</v>
      </c>
      <c r="F26">
        <v>175</v>
      </c>
      <c r="G26" s="13"/>
    </row>
    <row r="27" spans="1:7" hidden="1" x14ac:dyDescent="0.35">
      <c r="A27" s="12"/>
      <c r="B27" s="4" t="s">
        <v>42</v>
      </c>
      <c r="C27" s="4" t="s">
        <v>50</v>
      </c>
      <c r="D27" s="3">
        <v>30</v>
      </c>
      <c r="E27" s="3">
        <v>8</v>
      </c>
      <c r="F27">
        <v>240</v>
      </c>
      <c r="G27" s="13"/>
    </row>
    <row r="28" spans="1:7" hidden="1" x14ac:dyDescent="0.35">
      <c r="A28" s="12"/>
      <c r="B28" s="4" t="s">
        <v>45</v>
      </c>
      <c r="C28" s="4" t="s">
        <v>37</v>
      </c>
      <c r="D28" s="3">
        <v>11</v>
      </c>
      <c r="E28" s="3">
        <v>50</v>
      </c>
      <c r="F28">
        <v>550</v>
      </c>
      <c r="G28" s="13"/>
    </row>
    <row r="29" spans="1:7" hidden="1" x14ac:dyDescent="0.35">
      <c r="A29" s="12"/>
      <c r="B29" s="4" t="s">
        <v>36</v>
      </c>
      <c r="C29" s="4" t="s">
        <v>40</v>
      </c>
      <c r="D29" s="3">
        <v>14</v>
      </c>
      <c r="E29" s="3">
        <v>10</v>
      </c>
      <c r="F29">
        <v>140</v>
      </c>
      <c r="G29" s="13"/>
    </row>
    <row r="30" spans="1:7" hidden="1" x14ac:dyDescent="0.35">
      <c r="A30" s="12"/>
      <c r="B30" s="4" t="s">
        <v>39</v>
      </c>
      <c r="C30" s="4" t="s">
        <v>43</v>
      </c>
      <c r="D30" s="3">
        <v>16</v>
      </c>
      <c r="E30" s="3">
        <v>25</v>
      </c>
      <c r="F30">
        <v>400</v>
      </c>
      <c r="G30" s="13"/>
    </row>
    <row r="31" spans="1:7" hidden="1" x14ac:dyDescent="0.35">
      <c r="A31" s="12"/>
      <c r="B31" s="4" t="s">
        <v>42</v>
      </c>
      <c r="C31" s="4" t="s">
        <v>47</v>
      </c>
      <c r="D31" s="3">
        <v>22</v>
      </c>
      <c r="E31" s="3">
        <v>5</v>
      </c>
      <c r="F31">
        <v>110</v>
      </c>
      <c r="G31" s="13"/>
    </row>
    <row r="32" spans="1:7" hidden="1" x14ac:dyDescent="0.35">
      <c r="A32" s="12"/>
      <c r="B32" s="4" t="s">
        <v>45</v>
      </c>
      <c r="C32" s="4" t="s">
        <v>50</v>
      </c>
      <c r="D32" s="3">
        <v>27</v>
      </c>
      <c r="E32" s="3">
        <v>8</v>
      </c>
      <c r="F32">
        <v>216</v>
      </c>
      <c r="G32" s="13"/>
    </row>
    <row r="33" spans="1:7" x14ac:dyDescent="0.35">
      <c r="A33" s="12"/>
      <c r="B33" s="4" t="s">
        <v>36</v>
      </c>
      <c r="C33" s="4" t="s">
        <v>37</v>
      </c>
      <c r="D33" s="3">
        <v>13</v>
      </c>
      <c r="E33" s="3">
        <v>50</v>
      </c>
      <c r="F33">
        <v>650</v>
      </c>
      <c r="G33" s="13"/>
    </row>
    <row r="34" spans="1:7" hidden="1" x14ac:dyDescent="0.35">
      <c r="A34" s="12"/>
      <c r="B34" s="4" t="s">
        <v>39</v>
      </c>
      <c r="C34" s="4" t="s">
        <v>40</v>
      </c>
      <c r="D34" s="3">
        <v>32</v>
      </c>
      <c r="E34" s="3">
        <v>10</v>
      </c>
      <c r="F34">
        <v>320</v>
      </c>
      <c r="G34" s="13"/>
    </row>
    <row r="35" spans="1:7" hidden="1" x14ac:dyDescent="0.35">
      <c r="A35" s="12"/>
      <c r="B35" s="4" t="s">
        <v>42</v>
      </c>
      <c r="C35" s="4" t="s">
        <v>43</v>
      </c>
      <c r="D35" s="3">
        <v>10</v>
      </c>
      <c r="E35" s="3">
        <v>25</v>
      </c>
      <c r="F35">
        <v>250</v>
      </c>
      <c r="G35" s="13"/>
    </row>
    <row r="36" spans="1:7" hidden="1" x14ac:dyDescent="0.35">
      <c r="A36" s="12"/>
      <c r="B36" s="4" t="s">
        <v>45</v>
      </c>
      <c r="C36" s="4" t="s">
        <v>47</v>
      </c>
      <c r="D36" s="3">
        <v>18</v>
      </c>
      <c r="E36" s="3">
        <v>5</v>
      </c>
      <c r="F36">
        <v>90</v>
      </c>
      <c r="G36" s="13"/>
    </row>
    <row r="37" spans="1:7" hidden="1" x14ac:dyDescent="0.35">
      <c r="A37" s="12"/>
      <c r="B37" s="4" t="s">
        <v>36</v>
      </c>
      <c r="C37" s="4" t="s">
        <v>50</v>
      </c>
      <c r="D37" s="3">
        <v>22</v>
      </c>
      <c r="E37" s="3">
        <v>8</v>
      </c>
      <c r="F37">
        <v>176</v>
      </c>
      <c r="G37" s="13"/>
    </row>
    <row r="38" spans="1:7" hidden="1" x14ac:dyDescent="0.35">
      <c r="A38" s="12"/>
      <c r="B38" s="4" t="s">
        <v>39</v>
      </c>
      <c r="C38" s="4" t="s">
        <v>37</v>
      </c>
      <c r="D38" s="3">
        <v>17</v>
      </c>
      <c r="E38" s="3">
        <v>50</v>
      </c>
      <c r="F38">
        <v>850</v>
      </c>
      <c r="G38" s="13"/>
    </row>
    <row r="39" spans="1:7" hidden="1" x14ac:dyDescent="0.35">
      <c r="A39" s="12"/>
      <c r="B39" s="4" t="s">
        <v>42</v>
      </c>
      <c r="C39" s="4" t="s">
        <v>40</v>
      </c>
      <c r="D39" s="3">
        <v>19</v>
      </c>
      <c r="E39" s="3">
        <v>10</v>
      </c>
      <c r="F39">
        <v>190</v>
      </c>
      <c r="G39" s="13"/>
    </row>
    <row r="40" spans="1:7" hidden="1" x14ac:dyDescent="0.35">
      <c r="A40" s="12"/>
      <c r="B40" s="4" t="s">
        <v>45</v>
      </c>
      <c r="C40" s="4" t="s">
        <v>43</v>
      </c>
      <c r="D40" s="3">
        <v>15</v>
      </c>
      <c r="E40" s="3">
        <v>25</v>
      </c>
      <c r="F40">
        <v>375</v>
      </c>
      <c r="G40" s="13"/>
    </row>
    <row r="41" spans="1:7" hidden="1" x14ac:dyDescent="0.35">
      <c r="A41" s="12"/>
      <c r="B41" s="4" t="s">
        <v>36</v>
      </c>
      <c r="C41" s="4" t="s">
        <v>47</v>
      </c>
      <c r="D41" s="3">
        <v>28</v>
      </c>
      <c r="E41" s="3">
        <v>5</v>
      </c>
      <c r="F41">
        <v>140</v>
      </c>
      <c r="G41" s="13"/>
    </row>
    <row r="42" spans="1:7" hidden="1" x14ac:dyDescent="0.35">
      <c r="A42" s="12"/>
      <c r="B42" s="4" t="s">
        <v>39</v>
      </c>
      <c r="C42" s="4" t="s">
        <v>50</v>
      </c>
      <c r="D42" s="3">
        <v>24</v>
      </c>
      <c r="E42" s="3">
        <v>8</v>
      </c>
      <c r="F42">
        <v>192</v>
      </c>
      <c r="G42" s="13"/>
    </row>
    <row r="43" spans="1:7" hidden="1" x14ac:dyDescent="0.35">
      <c r="A43" s="12"/>
      <c r="B43" s="4" t="s">
        <v>42</v>
      </c>
      <c r="C43" s="4" t="s">
        <v>37</v>
      </c>
      <c r="D43" s="3">
        <v>16</v>
      </c>
      <c r="E43" s="3">
        <v>50</v>
      </c>
      <c r="F43">
        <v>800</v>
      </c>
      <c r="G43" s="13"/>
    </row>
    <row r="44" spans="1:7" hidden="1" x14ac:dyDescent="0.35">
      <c r="A44" s="12"/>
      <c r="B44" s="4" t="s">
        <v>45</v>
      </c>
      <c r="C44" s="4" t="s">
        <v>40</v>
      </c>
      <c r="D44" s="3">
        <v>27</v>
      </c>
      <c r="E44" s="3">
        <v>10</v>
      </c>
      <c r="F44">
        <v>270</v>
      </c>
      <c r="G44" s="13"/>
    </row>
    <row r="45" spans="1:7" hidden="1" x14ac:dyDescent="0.35">
      <c r="A45" s="12"/>
      <c r="B45" s="4" t="s">
        <v>36</v>
      </c>
      <c r="C45" s="4" t="s">
        <v>43</v>
      </c>
      <c r="D45" s="3">
        <v>21</v>
      </c>
      <c r="E45" s="3">
        <v>25</v>
      </c>
      <c r="F45">
        <v>525</v>
      </c>
      <c r="G45" s="13"/>
    </row>
    <row r="46" spans="1:7" hidden="1" x14ac:dyDescent="0.35">
      <c r="A46" s="12"/>
      <c r="B46" s="4" t="s">
        <v>39</v>
      </c>
      <c r="C46" s="4" t="s">
        <v>47</v>
      </c>
      <c r="D46" s="3">
        <v>30</v>
      </c>
      <c r="E46" s="3">
        <v>5</v>
      </c>
      <c r="F46">
        <v>150</v>
      </c>
      <c r="G46" s="13"/>
    </row>
    <row r="47" spans="1:7" hidden="1" x14ac:dyDescent="0.35">
      <c r="A47" s="12"/>
      <c r="B47" s="4" t="s">
        <v>42</v>
      </c>
      <c r="C47" s="4" t="s">
        <v>50</v>
      </c>
      <c r="D47" s="3">
        <v>26</v>
      </c>
      <c r="E47" s="3">
        <v>8</v>
      </c>
      <c r="F47">
        <v>208</v>
      </c>
      <c r="G47" s="13"/>
    </row>
    <row r="48" spans="1:7" hidden="1" x14ac:dyDescent="0.35">
      <c r="A48" s="12"/>
      <c r="B48" s="4" t="s">
        <v>45</v>
      </c>
      <c r="C48" s="4" t="s">
        <v>37</v>
      </c>
      <c r="D48" s="3">
        <v>14</v>
      </c>
      <c r="E48" s="3">
        <v>50</v>
      </c>
      <c r="F48">
        <v>700</v>
      </c>
      <c r="G48" s="13"/>
    </row>
    <row r="49" spans="1:7" hidden="1" x14ac:dyDescent="0.35">
      <c r="A49" s="12"/>
      <c r="B49" s="4" t="s">
        <v>36</v>
      </c>
      <c r="C49" s="4" t="s">
        <v>40</v>
      </c>
      <c r="D49" s="3">
        <v>20</v>
      </c>
      <c r="E49" s="3">
        <v>10</v>
      </c>
      <c r="F49">
        <v>200</v>
      </c>
      <c r="G49" s="13"/>
    </row>
    <row r="50" spans="1:7" hidden="1" x14ac:dyDescent="0.35">
      <c r="A50" s="12"/>
      <c r="B50" s="4" t="s">
        <v>39</v>
      </c>
      <c r="C50" s="4" t="s">
        <v>43</v>
      </c>
      <c r="D50" s="3">
        <v>17</v>
      </c>
      <c r="E50" s="3">
        <v>25</v>
      </c>
      <c r="F50">
        <v>425</v>
      </c>
      <c r="G50" s="13"/>
    </row>
    <row r="51" spans="1:7" hidden="1" x14ac:dyDescent="0.35">
      <c r="A51" s="12"/>
      <c r="B51" s="4" t="s">
        <v>42</v>
      </c>
      <c r="C51" s="4" t="s">
        <v>47</v>
      </c>
      <c r="D51" s="3">
        <v>19</v>
      </c>
      <c r="E51" s="3">
        <v>5</v>
      </c>
      <c r="F51">
        <v>95</v>
      </c>
      <c r="G51" s="13"/>
    </row>
    <row r="52" spans="1:7" hidden="1" x14ac:dyDescent="0.35">
      <c r="A52" s="12"/>
      <c r="B52" s="4" t="s">
        <v>45</v>
      </c>
      <c r="C52" s="4" t="s">
        <v>50</v>
      </c>
      <c r="D52" s="3">
        <v>32</v>
      </c>
      <c r="E52" s="3">
        <v>8</v>
      </c>
      <c r="F52">
        <v>256</v>
      </c>
      <c r="G52" s="13"/>
    </row>
    <row r="53" spans="1:7" x14ac:dyDescent="0.35">
      <c r="A53" s="12"/>
      <c r="B53" s="4" t="s">
        <v>36</v>
      </c>
      <c r="C53" s="4" t="s">
        <v>37</v>
      </c>
      <c r="D53" s="3">
        <v>12</v>
      </c>
      <c r="E53" s="3">
        <v>50</v>
      </c>
      <c r="F53">
        <v>600</v>
      </c>
      <c r="G53" s="13"/>
    </row>
    <row r="54" spans="1:7" hidden="1" x14ac:dyDescent="0.35">
      <c r="A54" s="12"/>
      <c r="B54" s="4" t="s">
        <v>39</v>
      </c>
      <c r="C54" s="4" t="s">
        <v>40</v>
      </c>
      <c r="D54" s="3">
        <v>25</v>
      </c>
      <c r="E54" s="3">
        <v>10</v>
      </c>
      <c r="F54">
        <v>250</v>
      </c>
      <c r="G54" s="13"/>
    </row>
    <row r="55" spans="1:7" ht="15" thickBot="1" x14ac:dyDescent="0.4">
      <c r="A55" s="14"/>
      <c r="B55" s="15"/>
      <c r="C55" s="15"/>
      <c r="D55" s="15"/>
      <c r="E55" s="15"/>
      <c r="F55" s="15"/>
      <c r="G55" s="16"/>
    </row>
  </sheetData>
  <mergeCells count="1">
    <mergeCell ref="B2:F2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B90A3-B230-499A-AB8D-4448FDE1A1D0}">
  <dimension ref="A1:H55"/>
  <sheetViews>
    <sheetView topLeftCell="A26" workbookViewId="0">
      <selection activeCell="A2" sqref="A2:H55"/>
    </sheetView>
  </sheetViews>
  <sheetFormatPr defaultRowHeight="14.5" x14ac:dyDescent="0.35"/>
  <cols>
    <col min="2" max="2" width="14" bestFit="1" customWidth="1"/>
    <col min="3" max="3" width="10.1796875" customWidth="1"/>
    <col min="4" max="4" width="10.453125" customWidth="1"/>
    <col min="5" max="5" width="11.7265625" customWidth="1"/>
    <col min="6" max="6" width="13.453125" customWidth="1"/>
    <col min="7" max="7" width="10.1796875" bestFit="1" customWidth="1"/>
    <col min="8" max="8" width="11.453125" bestFit="1" customWidth="1"/>
  </cols>
  <sheetData>
    <row r="1" spans="1:8" ht="15" thickBot="1" x14ac:dyDescent="0.4"/>
    <row r="2" spans="1:8" ht="15" thickBot="1" x14ac:dyDescent="0.4">
      <c r="A2" s="71" t="s">
        <v>123</v>
      </c>
      <c r="B2" s="72"/>
      <c r="C2" s="72"/>
      <c r="D2" s="72"/>
      <c r="E2" s="73"/>
    </row>
    <row r="3" spans="1:8" ht="15" thickBot="1" x14ac:dyDescent="0.4">
      <c r="A3" s="71" t="s">
        <v>124</v>
      </c>
      <c r="B3" s="72"/>
      <c r="C3" s="72"/>
      <c r="D3" s="72"/>
      <c r="E3" s="73"/>
    </row>
    <row r="5" spans="1:8" x14ac:dyDescent="0.35">
      <c r="A5" s="24" t="s">
        <v>27</v>
      </c>
      <c r="B5" s="24" t="s">
        <v>28</v>
      </c>
      <c r="C5" s="24" t="s">
        <v>29</v>
      </c>
      <c r="D5" s="24" t="s">
        <v>30</v>
      </c>
      <c r="E5" s="24" t="s">
        <v>31</v>
      </c>
      <c r="F5" s="24" t="s">
        <v>32</v>
      </c>
      <c r="G5" s="24" t="s">
        <v>33</v>
      </c>
      <c r="H5" s="24" t="s">
        <v>34</v>
      </c>
    </row>
    <row r="6" spans="1:8" x14ac:dyDescent="0.35">
      <c r="A6" s="25">
        <v>1001</v>
      </c>
      <c r="B6" s="26" t="s">
        <v>35</v>
      </c>
      <c r="C6" s="26" t="s">
        <v>36</v>
      </c>
      <c r="D6" s="26" t="s">
        <v>37</v>
      </c>
      <c r="E6" s="25">
        <v>10</v>
      </c>
      <c r="F6" s="25">
        <v>50</v>
      </c>
      <c r="G6" s="27">
        <v>45413</v>
      </c>
      <c r="H6" s="28">
        <f>E6*F6</f>
        <v>500</v>
      </c>
    </row>
    <row r="7" spans="1:8" x14ac:dyDescent="0.35">
      <c r="A7" s="25">
        <v>1002</v>
      </c>
      <c r="B7" s="26" t="s">
        <v>38</v>
      </c>
      <c r="C7" s="26" t="s">
        <v>39</v>
      </c>
      <c r="D7" s="26" t="s">
        <v>40</v>
      </c>
      <c r="E7" s="25">
        <v>20</v>
      </c>
      <c r="F7" s="25">
        <v>10</v>
      </c>
      <c r="G7" s="27">
        <v>45444</v>
      </c>
      <c r="H7" s="28">
        <f t="shared" ref="H7:H55" si="0">E7*F7</f>
        <v>200</v>
      </c>
    </row>
    <row r="8" spans="1:8" x14ac:dyDescent="0.35">
      <c r="A8" s="25">
        <v>1003</v>
      </c>
      <c r="B8" s="26" t="s">
        <v>41</v>
      </c>
      <c r="C8" s="26" t="s">
        <v>42</v>
      </c>
      <c r="D8" s="26" t="s">
        <v>43</v>
      </c>
      <c r="E8" s="25">
        <v>15</v>
      </c>
      <c r="F8" s="25">
        <v>25</v>
      </c>
      <c r="G8" s="27">
        <v>45474</v>
      </c>
      <c r="H8" s="28">
        <f t="shared" si="0"/>
        <v>375</v>
      </c>
    </row>
    <row r="9" spans="1:8" x14ac:dyDescent="0.35">
      <c r="A9" s="25">
        <v>1004</v>
      </c>
      <c r="B9" s="26" t="s">
        <v>44</v>
      </c>
      <c r="C9" s="26" t="s">
        <v>45</v>
      </c>
      <c r="D9" s="26" t="s">
        <v>37</v>
      </c>
      <c r="E9" s="25">
        <v>5</v>
      </c>
      <c r="F9" s="25">
        <v>50</v>
      </c>
      <c r="G9" s="27">
        <v>45505</v>
      </c>
      <c r="H9" s="28">
        <f t="shared" si="0"/>
        <v>250</v>
      </c>
    </row>
    <row r="10" spans="1:8" x14ac:dyDescent="0.35">
      <c r="A10" s="25">
        <v>1005</v>
      </c>
      <c r="B10" s="26" t="s">
        <v>46</v>
      </c>
      <c r="C10" s="26" t="s">
        <v>36</v>
      </c>
      <c r="D10" s="26" t="s">
        <v>47</v>
      </c>
      <c r="E10" s="25">
        <v>30</v>
      </c>
      <c r="F10" s="25">
        <v>5</v>
      </c>
      <c r="G10" s="27">
        <v>45566</v>
      </c>
      <c r="H10" s="28">
        <f t="shared" si="0"/>
        <v>150</v>
      </c>
    </row>
    <row r="11" spans="1:8" x14ac:dyDescent="0.35">
      <c r="A11" s="25">
        <v>1006</v>
      </c>
      <c r="B11" s="26" t="s">
        <v>48</v>
      </c>
      <c r="C11" s="26" t="s">
        <v>39</v>
      </c>
      <c r="D11" s="26" t="s">
        <v>37</v>
      </c>
      <c r="E11" s="25">
        <v>12</v>
      </c>
      <c r="F11" s="25">
        <v>50</v>
      </c>
      <c r="G11" s="27">
        <v>45597</v>
      </c>
      <c r="H11" s="28">
        <f t="shared" si="0"/>
        <v>600</v>
      </c>
    </row>
    <row r="12" spans="1:8" x14ac:dyDescent="0.35">
      <c r="A12" s="25">
        <v>1007</v>
      </c>
      <c r="B12" s="26" t="s">
        <v>49</v>
      </c>
      <c r="C12" s="26" t="s">
        <v>42</v>
      </c>
      <c r="D12" s="26" t="s">
        <v>50</v>
      </c>
      <c r="E12" s="25">
        <v>25</v>
      </c>
      <c r="F12" s="25">
        <v>8</v>
      </c>
      <c r="G12" s="25" t="s">
        <v>51</v>
      </c>
      <c r="H12" s="28">
        <f t="shared" si="0"/>
        <v>200</v>
      </c>
    </row>
    <row r="13" spans="1:8" x14ac:dyDescent="0.35">
      <c r="A13" s="25">
        <v>1008</v>
      </c>
      <c r="B13" s="26" t="s">
        <v>52</v>
      </c>
      <c r="C13" s="26" t="s">
        <v>45</v>
      </c>
      <c r="D13" s="26" t="s">
        <v>40</v>
      </c>
      <c r="E13" s="25">
        <v>18</v>
      </c>
      <c r="F13" s="25">
        <v>10</v>
      </c>
      <c r="G13" s="25" t="s">
        <v>53</v>
      </c>
      <c r="H13" s="28">
        <f t="shared" si="0"/>
        <v>180</v>
      </c>
    </row>
    <row r="14" spans="1:8" x14ac:dyDescent="0.35">
      <c r="A14" s="25">
        <v>1009</v>
      </c>
      <c r="B14" s="26" t="s">
        <v>54</v>
      </c>
      <c r="C14" s="26" t="s">
        <v>36</v>
      </c>
      <c r="D14" s="26" t="s">
        <v>43</v>
      </c>
      <c r="E14" s="25">
        <v>22</v>
      </c>
      <c r="F14" s="25">
        <v>25</v>
      </c>
      <c r="G14" s="25" t="s">
        <v>55</v>
      </c>
      <c r="H14" s="28">
        <f t="shared" si="0"/>
        <v>550</v>
      </c>
    </row>
    <row r="15" spans="1:8" x14ac:dyDescent="0.35">
      <c r="A15" s="25">
        <v>1010</v>
      </c>
      <c r="B15" s="26" t="s">
        <v>56</v>
      </c>
      <c r="C15" s="26" t="s">
        <v>39</v>
      </c>
      <c r="D15" s="26" t="s">
        <v>37</v>
      </c>
      <c r="E15" s="25">
        <v>8</v>
      </c>
      <c r="F15" s="25">
        <v>50</v>
      </c>
      <c r="G15" s="25" t="s">
        <v>57</v>
      </c>
      <c r="H15" s="28">
        <f t="shared" si="0"/>
        <v>400</v>
      </c>
    </row>
    <row r="16" spans="1:8" x14ac:dyDescent="0.35">
      <c r="A16" s="25">
        <v>1011</v>
      </c>
      <c r="B16" s="26" t="s">
        <v>58</v>
      </c>
      <c r="C16" s="26" t="s">
        <v>42</v>
      </c>
      <c r="D16" s="26" t="s">
        <v>47</v>
      </c>
      <c r="E16" s="25">
        <v>40</v>
      </c>
      <c r="F16" s="25">
        <v>5</v>
      </c>
      <c r="G16" s="25" t="s">
        <v>59</v>
      </c>
      <c r="H16" s="28">
        <f t="shared" si="0"/>
        <v>200</v>
      </c>
    </row>
    <row r="17" spans="1:8" x14ac:dyDescent="0.35">
      <c r="A17" s="25">
        <v>1012</v>
      </c>
      <c r="B17" s="26" t="s">
        <v>60</v>
      </c>
      <c r="C17" s="26" t="s">
        <v>45</v>
      </c>
      <c r="D17" s="26" t="s">
        <v>50</v>
      </c>
      <c r="E17" s="25">
        <v>35</v>
      </c>
      <c r="F17" s="25">
        <v>8</v>
      </c>
      <c r="G17" s="25" t="s">
        <v>61</v>
      </c>
      <c r="H17" s="28">
        <f t="shared" si="0"/>
        <v>280</v>
      </c>
    </row>
    <row r="18" spans="1:8" x14ac:dyDescent="0.35">
      <c r="A18" s="25">
        <v>1013</v>
      </c>
      <c r="B18" s="26" t="s">
        <v>62</v>
      </c>
      <c r="C18" s="26" t="s">
        <v>36</v>
      </c>
      <c r="D18" s="26" t="s">
        <v>37</v>
      </c>
      <c r="E18" s="25">
        <v>14</v>
      </c>
      <c r="F18" s="25">
        <v>50</v>
      </c>
      <c r="G18" s="25" t="s">
        <v>63</v>
      </c>
      <c r="H18" s="28">
        <f t="shared" si="0"/>
        <v>700</v>
      </c>
    </row>
    <row r="19" spans="1:8" x14ac:dyDescent="0.35">
      <c r="A19" s="25">
        <v>1014</v>
      </c>
      <c r="B19" s="26" t="s">
        <v>64</v>
      </c>
      <c r="C19" s="26" t="s">
        <v>39</v>
      </c>
      <c r="D19" s="26" t="s">
        <v>40</v>
      </c>
      <c r="E19" s="25">
        <v>28</v>
      </c>
      <c r="F19" s="25">
        <v>10</v>
      </c>
      <c r="G19" s="25" t="s">
        <v>65</v>
      </c>
      <c r="H19" s="28">
        <f t="shared" si="0"/>
        <v>280</v>
      </c>
    </row>
    <row r="20" spans="1:8" x14ac:dyDescent="0.35">
      <c r="A20" s="25">
        <v>1015</v>
      </c>
      <c r="B20" s="26" t="s">
        <v>66</v>
      </c>
      <c r="C20" s="26" t="s">
        <v>42</v>
      </c>
      <c r="D20" s="26" t="s">
        <v>43</v>
      </c>
      <c r="E20" s="25">
        <v>12</v>
      </c>
      <c r="F20" s="25">
        <v>25</v>
      </c>
      <c r="G20" s="25" t="s">
        <v>67</v>
      </c>
      <c r="H20" s="28">
        <f t="shared" si="0"/>
        <v>300</v>
      </c>
    </row>
    <row r="21" spans="1:8" x14ac:dyDescent="0.35">
      <c r="A21" s="25">
        <v>1016</v>
      </c>
      <c r="B21" s="26" t="s">
        <v>68</v>
      </c>
      <c r="C21" s="26" t="s">
        <v>45</v>
      </c>
      <c r="D21" s="26" t="s">
        <v>47</v>
      </c>
      <c r="E21" s="25">
        <v>25</v>
      </c>
      <c r="F21" s="25">
        <v>5</v>
      </c>
      <c r="G21" s="25" t="s">
        <v>69</v>
      </c>
      <c r="H21" s="28">
        <f t="shared" si="0"/>
        <v>125</v>
      </c>
    </row>
    <row r="22" spans="1:8" x14ac:dyDescent="0.35">
      <c r="A22" s="25">
        <v>1017</v>
      </c>
      <c r="B22" s="26" t="s">
        <v>70</v>
      </c>
      <c r="C22" s="26" t="s">
        <v>36</v>
      </c>
      <c r="D22" s="26" t="s">
        <v>50</v>
      </c>
      <c r="E22" s="25">
        <v>20</v>
      </c>
      <c r="F22" s="25">
        <v>8</v>
      </c>
      <c r="G22" s="25" t="s">
        <v>71</v>
      </c>
      <c r="H22" s="28">
        <f t="shared" si="0"/>
        <v>160</v>
      </c>
    </row>
    <row r="23" spans="1:8" x14ac:dyDescent="0.35">
      <c r="A23" s="25">
        <v>1018</v>
      </c>
      <c r="B23" s="26" t="s">
        <v>72</v>
      </c>
      <c r="C23" s="26" t="s">
        <v>39</v>
      </c>
      <c r="D23" s="26" t="s">
        <v>37</v>
      </c>
      <c r="E23" s="25">
        <v>10</v>
      </c>
      <c r="F23" s="25">
        <v>50</v>
      </c>
      <c r="G23" s="25" t="s">
        <v>73</v>
      </c>
      <c r="H23" s="28">
        <f t="shared" si="0"/>
        <v>500</v>
      </c>
    </row>
    <row r="24" spans="1:8" x14ac:dyDescent="0.35">
      <c r="A24" s="25">
        <v>1019</v>
      </c>
      <c r="B24" s="26" t="s">
        <v>74</v>
      </c>
      <c r="C24" s="26" t="s">
        <v>42</v>
      </c>
      <c r="D24" s="26" t="s">
        <v>40</v>
      </c>
      <c r="E24" s="25">
        <v>15</v>
      </c>
      <c r="F24" s="25">
        <v>10</v>
      </c>
      <c r="G24" s="25" t="s">
        <v>75</v>
      </c>
      <c r="H24" s="28">
        <f t="shared" si="0"/>
        <v>150</v>
      </c>
    </row>
    <row r="25" spans="1:8" x14ac:dyDescent="0.35">
      <c r="A25" s="25">
        <v>1020</v>
      </c>
      <c r="B25" s="26" t="s">
        <v>76</v>
      </c>
      <c r="C25" s="26" t="s">
        <v>45</v>
      </c>
      <c r="D25" s="26" t="s">
        <v>43</v>
      </c>
      <c r="E25" s="25">
        <v>18</v>
      </c>
      <c r="F25" s="25">
        <v>25</v>
      </c>
      <c r="G25" s="27">
        <v>45293</v>
      </c>
      <c r="H25" s="28">
        <f t="shared" si="0"/>
        <v>450</v>
      </c>
    </row>
    <row r="26" spans="1:8" x14ac:dyDescent="0.35">
      <c r="A26" s="25">
        <v>1021</v>
      </c>
      <c r="B26" s="26" t="s">
        <v>77</v>
      </c>
      <c r="C26" s="26" t="s">
        <v>36</v>
      </c>
      <c r="D26" s="26" t="s">
        <v>37</v>
      </c>
      <c r="E26" s="25">
        <v>9</v>
      </c>
      <c r="F26" s="25">
        <v>50</v>
      </c>
      <c r="G26" s="27">
        <v>45324</v>
      </c>
      <c r="H26" s="28">
        <f t="shared" si="0"/>
        <v>450</v>
      </c>
    </row>
    <row r="27" spans="1:8" x14ac:dyDescent="0.35">
      <c r="A27" s="25">
        <v>1022</v>
      </c>
      <c r="B27" s="26" t="s">
        <v>78</v>
      </c>
      <c r="C27" s="26" t="s">
        <v>39</v>
      </c>
      <c r="D27" s="26" t="s">
        <v>47</v>
      </c>
      <c r="E27" s="25">
        <v>35</v>
      </c>
      <c r="F27" s="25">
        <v>5</v>
      </c>
      <c r="G27" s="27">
        <v>45353</v>
      </c>
      <c r="H27" s="28">
        <f t="shared" si="0"/>
        <v>175</v>
      </c>
    </row>
    <row r="28" spans="1:8" x14ac:dyDescent="0.35">
      <c r="A28" s="25">
        <v>1023</v>
      </c>
      <c r="B28" s="26" t="s">
        <v>79</v>
      </c>
      <c r="C28" s="26" t="s">
        <v>42</v>
      </c>
      <c r="D28" s="26" t="s">
        <v>50</v>
      </c>
      <c r="E28" s="25">
        <v>30</v>
      </c>
      <c r="F28" s="25">
        <v>8</v>
      </c>
      <c r="G28" s="27">
        <v>45384</v>
      </c>
      <c r="H28" s="28">
        <f t="shared" si="0"/>
        <v>240</v>
      </c>
    </row>
    <row r="29" spans="1:8" x14ac:dyDescent="0.35">
      <c r="A29" s="25">
        <v>1024</v>
      </c>
      <c r="B29" s="26" t="s">
        <v>80</v>
      </c>
      <c r="C29" s="26" t="s">
        <v>45</v>
      </c>
      <c r="D29" s="26" t="s">
        <v>37</v>
      </c>
      <c r="E29" s="25">
        <v>11</v>
      </c>
      <c r="F29" s="25">
        <v>50</v>
      </c>
      <c r="G29" s="27">
        <v>45445</v>
      </c>
      <c r="H29" s="28">
        <f t="shared" si="0"/>
        <v>550</v>
      </c>
    </row>
    <row r="30" spans="1:8" x14ac:dyDescent="0.35">
      <c r="A30" s="25">
        <v>1025</v>
      </c>
      <c r="B30" s="26" t="s">
        <v>81</v>
      </c>
      <c r="C30" s="26" t="s">
        <v>36</v>
      </c>
      <c r="D30" s="26" t="s">
        <v>40</v>
      </c>
      <c r="E30" s="25">
        <v>14</v>
      </c>
      <c r="F30" s="25">
        <v>10</v>
      </c>
      <c r="G30" s="27">
        <v>45475</v>
      </c>
      <c r="H30" s="28">
        <f t="shared" si="0"/>
        <v>140</v>
      </c>
    </row>
    <row r="31" spans="1:8" x14ac:dyDescent="0.35">
      <c r="A31" s="25">
        <v>1026</v>
      </c>
      <c r="B31" s="26" t="s">
        <v>82</v>
      </c>
      <c r="C31" s="26" t="s">
        <v>39</v>
      </c>
      <c r="D31" s="26" t="s">
        <v>43</v>
      </c>
      <c r="E31" s="25">
        <v>16</v>
      </c>
      <c r="F31" s="25">
        <v>25</v>
      </c>
      <c r="G31" s="27">
        <v>45506</v>
      </c>
      <c r="H31" s="28">
        <f t="shared" si="0"/>
        <v>400</v>
      </c>
    </row>
    <row r="32" spans="1:8" x14ac:dyDescent="0.35">
      <c r="A32" s="25">
        <v>1027</v>
      </c>
      <c r="B32" s="26" t="s">
        <v>83</v>
      </c>
      <c r="C32" s="26" t="s">
        <v>42</v>
      </c>
      <c r="D32" s="26" t="s">
        <v>47</v>
      </c>
      <c r="E32" s="25">
        <v>22</v>
      </c>
      <c r="F32" s="25">
        <v>5</v>
      </c>
      <c r="G32" s="27">
        <v>45537</v>
      </c>
      <c r="H32" s="28">
        <f t="shared" si="0"/>
        <v>110</v>
      </c>
    </row>
    <row r="33" spans="1:8" x14ac:dyDescent="0.35">
      <c r="A33" s="25">
        <v>1028</v>
      </c>
      <c r="B33" s="26" t="s">
        <v>84</v>
      </c>
      <c r="C33" s="26" t="s">
        <v>45</v>
      </c>
      <c r="D33" s="26" t="s">
        <v>50</v>
      </c>
      <c r="E33" s="25">
        <v>27</v>
      </c>
      <c r="F33" s="25">
        <v>8</v>
      </c>
      <c r="G33" s="27">
        <v>45567</v>
      </c>
      <c r="H33" s="28">
        <f t="shared" si="0"/>
        <v>216</v>
      </c>
    </row>
    <row r="34" spans="1:8" x14ac:dyDescent="0.35">
      <c r="A34" s="25">
        <v>1029</v>
      </c>
      <c r="B34" s="26" t="s">
        <v>85</v>
      </c>
      <c r="C34" s="26" t="s">
        <v>36</v>
      </c>
      <c r="D34" s="26" t="s">
        <v>37</v>
      </c>
      <c r="E34" s="25">
        <v>13</v>
      </c>
      <c r="F34" s="25">
        <v>50</v>
      </c>
      <c r="G34" s="27">
        <v>45628</v>
      </c>
      <c r="H34" s="28">
        <f t="shared" si="0"/>
        <v>650</v>
      </c>
    </row>
    <row r="35" spans="1:8" x14ac:dyDescent="0.35">
      <c r="A35" s="25">
        <v>1030</v>
      </c>
      <c r="B35" s="26" t="s">
        <v>86</v>
      </c>
      <c r="C35" s="26" t="s">
        <v>39</v>
      </c>
      <c r="D35" s="26" t="s">
        <v>40</v>
      </c>
      <c r="E35" s="25">
        <v>32</v>
      </c>
      <c r="F35" s="25">
        <v>10</v>
      </c>
      <c r="G35" s="25" t="s">
        <v>87</v>
      </c>
      <c r="H35" s="28">
        <f t="shared" si="0"/>
        <v>320</v>
      </c>
    </row>
    <row r="36" spans="1:8" x14ac:dyDescent="0.35">
      <c r="A36" s="25">
        <v>1031</v>
      </c>
      <c r="B36" s="26" t="s">
        <v>88</v>
      </c>
      <c r="C36" s="26" t="s">
        <v>42</v>
      </c>
      <c r="D36" s="26" t="s">
        <v>43</v>
      </c>
      <c r="E36" s="25">
        <v>10</v>
      </c>
      <c r="F36" s="25">
        <v>25</v>
      </c>
      <c r="G36" s="25" t="s">
        <v>89</v>
      </c>
      <c r="H36" s="28">
        <f t="shared" si="0"/>
        <v>250</v>
      </c>
    </row>
    <row r="37" spans="1:8" x14ac:dyDescent="0.35">
      <c r="A37" s="25">
        <v>1032</v>
      </c>
      <c r="B37" s="26" t="s">
        <v>90</v>
      </c>
      <c r="C37" s="26" t="s">
        <v>45</v>
      </c>
      <c r="D37" s="26" t="s">
        <v>47</v>
      </c>
      <c r="E37" s="25">
        <v>18</v>
      </c>
      <c r="F37" s="25">
        <v>5</v>
      </c>
      <c r="G37" s="25" t="s">
        <v>91</v>
      </c>
      <c r="H37" s="28">
        <f t="shared" si="0"/>
        <v>90</v>
      </c>
    </row>
    <row r="38" spans="1:8" x14ac:dyDescent="0.35">
      <c r="A38" s="25">
        <v>1033</v>
      </c>
      <c r="B38" s="26" t="s">
        <v>92</v>
      </c>
      <c r="C38" s="26" t="s">
        <v>36</v>
      </c>
      <c r="D38" s="26" t="s">
        <v>50</v>
      </c>
      <c r="E38" s="25">
        <v>22</v>
      </c>
      <c r="F38" s="25">
        <v>8</v>
      </c>
      <c r="G38" s="25" t="s">
        <v>93</v>
      </c>
      <c r="H38" s="28">
        <f t="shared" si="0"/>
        <v>176</v>
      </c>
    </row>
    <row r="39" spans="1:8" x14ac:dyDescent="0.35">
      <c r="A39" s="25">
        <v>1034</v>
      </c>
      <c r="B39" s="26" t="s">
        <v>94</v>
      </c>
      <c r="C39" s="26" t="s">
        <v>39</v>
      </c>
      <c r="D39" s="26" t="s">
        <v>37</v>
      </c>
      <c r="E39" s="25">
        <v>17</v>
      </c>
      <c r="F39" s="25">
        <v>50</v>
      </c>
      <c r="G39" s="25" t="s">
        <v>95</v>
      </c>
      <c r="H39" s="28">
        <f t="shared" si="0"/>
        <v>850</v>
      </c>
    </row>
    <row r="40" spans="1:8" x14ac:dyDescent="0.35">
      <c r="A40" s="25">
        <v>1035</v>
      </c>
      <c r="B40" s="26" t="s">
        <v>96</v>
      </c>
      <c r="C40" s="26" t="s">
        <v>42</v>
      </c>
      <c r="D40" s="26" t="s">
        <v>40</v>
      </c>
      <c r="E40" s="25">
        <v>19</v>
      </c>
      <c r="F40" s="25">
        <v>10</v>
      </c>
      <c r="G40" s="25" t="s">
        <v>97</v>
      </c>
      <c r="H40" s="28">
        <f t="shared" si="0"/>
        <v>190</v>
      </c>
    </row>
    <row r="41" spans="1:8" x14ac:dyDescent="0.35">
      <c r="A41" s="25">
        <v>1036</v>
      </c>
      <c r="B41" s="26" t="s">
        <v>98</v>
      </c>
      <c r="C41" s="26" t="s">
        <v>45</v>
      </c>
      <c r="D41" s="26" t="s">
        <v>43</v>
      </c>
      <c r="E41" s="25">
        <v>15</v>
      </c>
      <c r="F41" s="25">
        <v>25</v>
      </c>
      <c r="G41" s="25" t="s">
        <v>99</v>
      </c>
      <c r="H41" s="28">
        <f t="shared" si="0"/>
        <v>375</v>
      </c>
    </row>
    <row r="42" spans="1:8" x14ac:dyDescent="0.35">
      <c r="A42" s="25">
        <v>1037</v>
      </c>
      <c r="B42" s="26" t="s">
        <v>100</v>
      </c>
      <c r="C42" s="26" t="s">
        <v>36</v>
      </c>
      <c r="D42" s="26" t="s">
        <v>47</v>
      </c>
      <c r="E42" s="25">
        <v>28</v>
      </c>
      <c r="F42" s="25">
        <v>5</v>
      </c>
      <c r="G42" s="25" t="s">
        <v>101</v>
      </c>
      <c r="H42" s="28">
        <f t="shared" si="0"/>
        <v>140</v>
      </c>
    </row>
    <row r="43" spans="1:8" x14ac:dyDescent="0.35">
      <c r="A43" s="25">
        <v>1038</v>
      </c>
      <c r="B43" s="26" t="s">
        <v>102</v>
      </c>
      <c r="C43" s="26" t="s">
        <v>39</v>
      </c>
      <c r="D43" s="26" t="s">
        <v>50</v>
      </c>
      <c r="E43" s="25">
        <v>24</v>
      </c>
      <c r="F43" s="25">
        <v>8</v>
      </c>
      <c r="G43" s="25" t="s">
        <v>103</v>
      </c>
      <c r="H43" s="28">
        <f t="shared" si="0"/>
        <v>192</v>
      </c>
    </row>
    <row r="44" spans="1:8" x14ac:dyDescent="0.35">
      <c r="A44" s="25">
        <v>1039</v>
      </c>
      <c r="B44" s="26" t="s">
        <v>104</v>
      </c>
      <c r="C44" s="26" t="s">
        <v>42</v>
      </c>
      <c r="D44" s="26" t="s">
        <v>37</v>
      </c>
      <c r="E44" s="25">
        <v>16</v>
      </c>
      <c r="F44" s="25">
        <v>50</v>
      </c>
      <c r="G44" s="25" t="s">
        <v>105</v>
      </c>
      <c r="H44" s="28">
        <f t="shared" si="0"/>
        <v>800</v>
      </c>
    </row>
    <row r="45" spans="1:8" x14ac:dyDescent="0.35">
      <c r="A45" s="25">
        <v>1040</v>
      </c>
      <c r="B45" s="26" t="s">
        <v>106</v>
      </c>
      <c r="C45" s="26" t="s">
        <v>45</v>
      </c>
      <c r="D45" s="26" t="s">
        <v>40</v>
      </c>
      <c r="E45" s="25">
        <v>27</v>
      </c>
      <c r="F45" s="25">
        <v>10</v>
      </c>
      <c r="G45" s="25" t="s">
        <v>107</v>
      </c>
      <c r="H45" s="28">
        <f t="shared" si="0"/>
        <v>270</v>
      </c>
    </row>
    <row r="46" spans="1:8" x14ac:dyDescent="0.35">
      <c r="A46" s="25">
        <v>1041</v>
      </c>
      <c r="B46" s="26" t="s">
        <v>108</v>
      </c>
      <c r="C46" s="26" t="s">
        <v>36</v>
      </c>
      <c r="D46" s="26" t="s">
        <v>43</v>
      </c>
      <c r="E46" s="25">
        <v>21</v>
      </c>
      <c r="F46" s="25">
        <v>25</v>
      </c>
      <c r="G46" s="25" t="s">
        <v>109</v>
      </c>
      <c r="H46" s="28">
        <f t="shared" si="0"/>
        <v>525</v>
      </c>
    </row>
    <row r="47" spans="1:8" x14ac:dyDescent="0.35">
      <c r="A47" s="25">
        <v>1042</v>
      </c>
      <c r="B47" s="26" t="s">
        <v>110</v>
      </c>
      <c r="C47" s="26" t="s">
        <v>39</v>
      </c>
      <c r="D47" s="26" t="s">
        <v>47</v>
      </c>
      <c r="E47" s="25">
        <v>30</v>
      </c>
      <c r="F47" s="25">
        <v>5</v>
      </c>
      <c r="G47" s="25" t="s">
        <v>111</v>
      </c>
      <c r="H47" s="28">
        <f t="shared" si="0"/>
        <v>150</v>
      </c>
    </row>
    <row r="48" spans="1:8" x14ac:dyDescent="0.35">
      <c r="A48" s="25">
        <v>1043</v>
      </c>
      <c r="B48" s="26" t="s">
        <v>112</v>
      </c>
      <c r="C48" s="26" t="s">
        <v>42</v>
      </c>
      <c r="D48" s="26" t="s">
        <v>50</v>
      </c>
      <c r="E48" s="25">
        <v>26</v>
      </c>
      <c r="F48" s="25">
        <v>8</v>
      </c>
      <c r="G48" s="27">
        <v>45294</v>
      </c>
      <c r="H48" s="28">
        <f t="shared" si="0"/>
        <v>208</v>
      </c>
    </row>
    <row r="49" spans="1:8" x14ac:dyDescent="0.35">
      <c r="A49" s="25">
        <v>1044</v>
      </c>
      <c r="B49" s="26" t="s">
        <v>113</v>
      </c>
      <c r="C49" s="26" t="s">
        <v>45</v>
      </c>
      <c r="D49" s="26" t="s">
        <v>37</v>
      </c>
      <c r="E49" s="25">
        <v>14</v>
      </c>
      <c r="F49" s="25">
        <v>50</v>
      </c>
      <c r="G49" s="27">
        <v>45325</v>
      </c>
      <c r="H49" s="28">
        <f t="shared" si="0"/>
        <v>700</v>
      </c>
    </row>
    <row r="50" spans="1:8" x14ac:dyDescent="0.35">
      <c r="A50" s="25">
        <v>1045</v>
      </c>
      <c r="B50" s="26" t="s">
        <v>114</v>
      </c>
      <c r="C50" s="26" t="s">
        <v>36</v>
      </c>
      <c r="D50" s="26" t="s">
        <v>40</v>
      </c>
      <c r="E50" s="25">
        <v>20</v>
      </c>
      <c r="F50" s="25">
        <v>10</v>
      </c>
      <c r="G50" s="27">
        <v>45354</v>
      </c>
      <c r="H50" s="28">
        <f t="shared" si="0"/>
        <v>200</v>
      </c>
    </row>
    <row r="51" spans="1:8" x14ac:dyDescent="0.35">
      <c r="A51" s="25">
        <v>1046</v>
      </c>
      <c r="B51" s="26" t="s">
        <v>115</v>
      </c>
      <c r="C51" s="26" t="s">
        <v>39</v>
      </c>
      <c r="D51" s="26" t="s">
        <v>43</v>
      </c>
      <c r="E51" s="25">
        <v>17</v>
      </c>
      <c r="F51" s="25">
        <v>25</v>
      </c>
      <c r="G51" s="27">
        <v>45385</v>
      </c>
      <c r="H51" s="28">
        <f t="shared" si="0"/>
        <v>425</v>
      </c>
    </row>
    <row r="52" spans="1:8" x14ac:dyDescent="0.35">
      <c r="A52" s="25">
        <v>1047</v>
      </c>
      <c r="B52" s="26" t="s">
        <v>116</v>
      </c>
      <c r="C52" s="26" t="s">
        <v>42</v>
      </c>
      <c r="D52" s="26" t="s">
        <v>47</v>
      </c>
      <c r="E52" s="25">
        <v>19</v>
      </c>
      <c r="F52" s="25">
        <v>5</v>
      </c>
      <c r="G52" s="27">
        <v>45415</v>
      </c>
      <c r="H52" s="28">
        <f t="shared" si="0"/>
        <v>95</v>
      </c>
    </row>
    <row r="53" spans="1:8" x14ac:dyDescent="0.35">
      <c r="A53" s="25">
        <v>1048</v>
      </c>
      <c r="B53" s="26" t="s">
        <v>117</v>
      </c>
      <c r="C53" s="26" t="s">
        <v>45</v>
      </c>
      <c r="D53" s="26" t="s">
        <v>50</v>
      </c>
      <c r="E53" s="25">
        <v>32</v>
      </c>
      <c r="F53" s="25">
        <v>8</v>
      </c>
      <c r="G53" s="27">
        <v>45446</v>
      </c>
      <c r="H53" s="28">
        <f t="shared" si="0"/>
        <v>256</v>
      </c>
    </row>
    <row r="54" spans="1:8" x14ac:dyDescent="0.35">
      <c r="A54" s="25">
        <v>1049</v>
      </c>
      <c r="B54" s="26" t="s">
        <v>118</v>
      </c>
      <c r="C54" s="26" t="s">
        <v>36</v>
      </c>
      <c r="D54" s="26" t="s">
        <v>37</v>
      </c>
      <c r="E54" s="25">
        <v>12</v>
      </c>
      <c r="F54" s="25">
        <v>50</v>
      </c>
      <c r="G54" s="27">
        <v>45476</v>
      </c>
      <c r="H54" s="28">
        <f t="shared" si="0"/>
        <v>600</v>
      </c>
    </row>
    <row r="55" spans="1:8" x14ac:dyDescent="0.35">
      <c r="A55" s="25">
        <v>1050</v>
      </c>
      <c r="B55" s="26" t="s">
        <v>119</v>
      </c>
      <c r="C55" s="26" t="s">
        <v>39</v>
      </c>
      <c r="D55" s="26" t="s">
        <v>40</v>
      </c>
      <c r="E55" s="25">
        <v>25</v>
      </c>
      <c r="F55" s="25">
        <v>10</v>
      </c>
      <c r="G55" s="27">
        <v>45507</v>
      </c>
      <c r="H55" s="28">
        <f t="shared" si="0"/>
        <v>250</v>
      </c>
    </row>
  </sheetData>
  <mergeCells count="2">
    <mergeCell ref="A2:E2"/>
    <mergeCell ref="A3:E3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A6F8F-8464-42D6-9A1B-A619D6478E58}">
  <sheetPr>
    <pageSetUpPr fitToPage="1"/>
  </sheetPr>
  <dimension ref="A1:I23"/>
  <sheetViews>
    <sheetView topLeftCell="A22" zoomScaleNormal="100" workbookViewId="0">
      <selection activeCell="J37" sqref="J37"/>
    </sheetView>
  </sheetViews>
  <sheetFormatPr defaultRowHeight="14.5" x14ac:dyDescent="0.35"/>
  <sheetData>
    <row r="1" spans="1:9" x14ac:dyDescent="0.35">
      <c r="A1" s="9"/>
      <c r="B1" s="10"/>
      <c r="C1" s="10"/>
      <c r="D1" s="10"/>
      <c r="E1" s="10"/>
      <c r="F1" s="10"/>
      <c r="G1" s="10"/>
      <c r="H1" s="10"/>
      <c r="I1" s="11"/>
    </row>
    <row r="2" spans="1:9" x14ac:dyDescent="0.35">
      <c r="B2" s="74" t="s">
        <v>123</v>
      </c>
      <c r="C2" s="74"/>
      <c r="D2" s="74"/>
      <c r="E2" s="74"/>
      <c r="F2" s="74"/>
      <c r="G2" s="74"/>
    </row>
    <row r="23" spans="2:6" x14ac:dyDescent="0.35">
      <c r="B23" s="74" t="s">
        <v>124</v>
      </c>
      <c r="C23" s="74"/>
      <c r="D23" s="74"/>
      <c r="E23" s="74"/>
      <c r="F23" s="74"/>
    </row>
  </sheetData>
  <mergeCells count="2">
    <mergeCell ref="B2:G2"/>
    <mergeCell ref="B23:F23"/>
  </mergeCells>
  <pageMargins left="0.7" right="0.7" top="0.75" bottom="0.75" header="0.3" footer="0.3"/>
  <pageSetup paperSize="9" fitToWidth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Q1</vt:lpstr>
      <vt:lpstr>Q2</vt:lpstr>
      <vt:lpstr>Q3</vt:lpstr>
      <vt:lpstr>Q4</vt:lpstr>
      <vt:lpstr>Q5</vt:lpstr>
      <vt:lpstr>Q6</vt:lpstr>
      <vt:lpstr>Q6,Q7</vt:lpstr>
      <vt:lpstr>Ans6.7 chart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Ram Yadav</dc:creator>
  <cp:keywords/>
  <dc:description/>
  <cp:lastModifiedBy>Ram Yadav</cp:lastModifiedBy>
  <cp:revision/>
  <dcterms:created xsi:type="dcterms:W3CDTF">2026-01-07T16:39:30Z</dcterms:created>
  <dcterms:modified xsi:type="dcterms:W3CDTF">2026-01-11T13:41:57Z</dcterms:modified>
  <cp:category/>
  <cp:contentStatus/>
</cp:coreProperties>
</file>